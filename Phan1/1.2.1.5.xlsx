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iHocCIT\TH3NTCNS\"/>
    </mc:Choice>
  </mc:AlternateContent>
  <xr:revisionPtr revIDLastSave="0" documentId="13_ncr:1_{02788F63-D0D4-451C-9648-69B1FC0B5550}" xr6:coauthVersionLast="47" xr6:coauthVersionMax="47" xr10:uidLastSave="{00000000-0000-0000-0000-000000000000}"/>
  <bookViews>
    <workbookView xWindow="-108" yWindow="-108" windowWidth="23256" windowHeight="12396" xr2:uid="{575AAAF5-65FA-401A-9FB7-7B14D47A8190}"/>
  </bookViews>
  <sheets>
    <sheet name="Sheet1" sheetId="1" r:id="rId1"/>
  </sheets>
  <externalReferences>
    <externalReference r:id="rId2"/>
  </externalReferences>
  <definedNames>
    <definedName name="_xlchart.v1.0" hidden="1">Sheet1!$E$14:$E$21</definedName>
    <definedName name="_xlchart.v1.1" hidden="1">Sheet1!$F$14:$F$21</definedName>
    <definedName name="_xlchart.v1.2" hidden="1">Sheet1!$E$24:$E$27</definedName>
    <definedName name="_xlchart.v1.3" hidden="1">Sheet1!$F$23</definedName>
    <definedName name="_xlchart.v1.4" hidden="1">Sheet1!$F$24:$F$27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 a="1"/>
  <c r="F24" i="1" s="1"/>
  <c r="F27" i="1" l="1"/>
  <c r="F14" i="1" l="1" a="1"/>
  <c r="F1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<sst xmlns="http://schemas.openxmlformats.org/spreadsheetml/2006/main" count="61" uniqueCount="53">
  <si>
    <t>Bảng quy đổi điểm</t>
  </si>
  <si>
    <t>Điểm theo thang điểm 10</t>
  </si>
  <si>
    <t>Điểm chữ</t>
  </si>
  <si>
    <t>Điểm theo thang điểm 4</t>
  </si>
  <si>
    <t>Bảng điểm chuyên cần</t>
  </si>
  <si>
    <t>Số buổi vắng</t>
  </si>
  <si>
    <t>Điểm CT</t>
  </si>
  <si>
    <t>F</t>
  </si>
  <si>
    <t>D</t>
  </si>
  <si>
    <t>D+</t>
  </si>
  <si>
    <t>C</t>
  </si>
  <si>
    <t>C+</t>
  </si>
  <si>
    <t>B</t>
  </si>
  <si>
    <t>B+</t>
  </si>
  <si>
    <t>A</t>
  </si>
  <si>
    <t>B1505719</t>
  </si>
  <si>
    <t>B1505915</t>
  </si>
  <si>
    <t>Lý Minh Trí</t>
  </si>
  <si>
    <t>B1509874</t>
  </si>
  <si>
    <t>Nguyễn Kiều My</t>
  </si>
  <si>
    <t>B1509929</t>
  </si>
  <si>
    <t>Đặng Duy Linh</t>
  </si>
  <si>
    <t>B1605223</t>
  </si>
  <si>
    <t>Lê Thị Trúc Linh</t>
  </si>
  <si>
    <t>B1605235</t>
  </si>
  <si>
    <t>Phạm Thị Huỳnh</t>
  </si>
  <si>
    <t>B1605249</t>
  </si>
  <si>
    <t>Lê Minh Thông</t>
  </si>
  <si>
    <t>B1605285</t>
  </si>
  <si>
    <t>Huỳnh Thị Diễm</t>
  </si>
  <si>
    <t>B1605291</t>
  </si>
  <si>
    <t>Trần Thanh Nguyên</t>
  </si>
  <si>
    <t>B1605344</t>
  </si>
  <si>
    <t>Nguyễn Thị Đào</t>
  </si>
  <si>
    <t>B1607025</t>
  </si>
  <si>
    <t>Nguyễn Chí Thanh</t>
  </si>
  <si>
    <t>B1609759</t>
  </si>
  <si>
    <t>Nguyễn Hải Anh</t>
  </si>
  <si>
    <t>B1609765</t>
  </si>
  <si>
    <t>Trần Nam Dương</t>
  </si>
  <si>
    <t>B1609773</t>
  </si>
  <si>
    <t>Nguyễn Duy Khanh</t>
  </si>
  <si>
    <t>Nguyễn Văn Hiếu</t>
  </si>
  <si>
    <t>Danh sách Sinh viên</t>
  </si>
  <si>
    <t>STT</t>
  </si>
  <si>
    <t>Mã SV</t>
  </si>
  <si>
    <t>Họ và Tên</t>
  </si>
  <si>
    <t>Bảng thống kê theo điểm chữ</t>
  </si>
  <si>
    <t>Điểm Chữ</t>
  </si>
  <si>
    <t>Số lượng sinh viên</t>
  </si>
  <si>
    <t>Bảng thống kê SV</t>
  </si>
  <si>
    <t>Số sinh viên điểm BT lớn=0 hoặc điểm LT =-3</t>
  </si>
  <si>
    <t>Số SV có Điểm theo thang điểm 10 &gt;= 7 và có Điểm chữ là B+ hoặc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</si>
</sst>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Thống</a:t>
            </a:r>
            <a:r>
              <a:rPr lang="en-US" baseline="0"/>
              <a:t> kê tổng số lượng Sinh viên theo điểm chữ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05"/>
          <c:y val="0.26377333041703122"/>
          <c:w val="0.93888888888888888"/>
          <c:h val="0.64884186351706041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9F0-4BB2-AD10-A9D993DB677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Sheet1!$E$14:$E$21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B+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f>Sheet1!$F$14:$F$21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5</c:v>
                </c:pt>
                <c:pt idx="5">
                  <c:v>1</c:v>
                </c:pt>
                <c:pt idx="6">
                  <c:v>0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F0-4BB2-AD10-A9D993DB677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86067366579178"/>
          <c:y val="0.14803003791192768"/>
          <c:w val="7.1948818897637795E-2"/>
          <c:h val="0.62500437445319346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91440</xdr:colOff>
      <xdr:row>13</xdr:row>
      <xdr:rowOff>34290</xdr:rowOff>
    </xdr:from>
    <xdr:to>
      <xdr:col>13</xdr:col>
      <xdr:colOff>396240</xdr:colOff>
      <xdr:row>26</xdr:row>
      <xdr:rowOff>400050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AAB844-9907-8B1F-6F2E-3ECA0FE1D4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iHocCIT\TH3NTCNS\1.2.1.1.xlsx" TargetMode="External"/><Relationship Id="rId1" Type="http://schemas.openxmlformats.org/officeDocument/2006/relationships/externalLinkPath" Target="1.2.1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Tổng hợp điểm"/>
      <sheetName val="Sheet Điểm thực hành các buổi"/>
      <sheetName val="Sheet Điểm bài tập lớn"/>
      <sheetName val="Sheet Điểm lý thuyết"/>
      <sheetName val="Sheet Các bảng tham chiếu &amp; Thố"/>
      <sheetName val="SinhvienDiem&lt;7"/>
      <sheetName val="SinhvienDiem&gt;=7"/>
    </sheetNames>
    <sheetDataSet>
      <sheetData sheetId="0">
        <row r="7">
          <cell r="J7">
            <v>5</v>
          </cell>
          <cell r="K7" t="str">
            <v>D+</v>
          </cell>
        </row>
        <row r="8">
          <cell r="J8">
            <v>6.2</v>
          </cell>
          <cell r="K8" t="str">
            <v>C</v>
          </cell>
        </row>
        <row r="9">
          <cell r="J9">
            <v>5.8</v>
          </cell>
          <cell r="K9" t="str">
            <v>C</v>
          </cell>
        </row>
        <row r="10">
          <cell r="J10">
            <v>5.7</v>
          </cell>
          <cell r="K10" t="str">
            <v>C</v>
          </cell>
        </row>
        <row r="11">
          <cell r="J11">
            <v>5.6</v>
          </cell>
          <cell r="K11" t="str">
            <v>C</v>
          </cell>
        </row>
        <row r="12">
          <cell r="G12">
            <v>1.2</v>
          </cell>
          <cell r="H12">
            <v>7.5</v>
          </cell>
          <cell r="J12">
            <v>8.1</v>
          </cell>
          <cell r="K12" t="str">
            <v>B+</v>
          </cell>
        </row>
        <row r="13">
          <cell r="G13">
            <v>1</v>
          </cell>
          <cell r="H13">
            <v>5.3</v>
          </cell>
          <cell r="J13">
            <v>6.4</v>
          </cell>
          <cell r="K13" t="str">
            <v>C</v>
          </cell>
        </row>
        <row r="14">
          <cell r="G14">
            <v>0</v>
          </cell>
          <cell r="H14">
            <v>6.8</v>
          </cell>
          <cell r="J14">
            <v>0</v>
          </cell>
          <cell r="K14" t="str">
            <v>F</v>
          </cell>
        </row>
        <row r="15">
          <cell r="G15">
            <v>0.75</v>
          </cell>
          <cell r="H15">
            <v>6.3</v>
          </cell>
          <cell r="J15">
            <v>6.8</v>
          </cell>
          <cell r="K15" t="str">
            <v>C+</v>
          </cell>
        </row>
        <row r="16">
          <cell r="G16">
            <v>0.3</v>
          </cell>
          <cell r="H16">
            <v>8.3000000000000007</v>
          </cell>
          <cell r="J16">
            <v>7</v>
          </cell>
          <cell r="K16" t="str">
            <v>B</v>
          </cell>
        </row>
        <row r="17">
          <cell r="G17">
            <v>0.3</v>
          </cell>
          <cell r="H17">
            <v>-3</v>
          </cell>
          <cell r="J17">
            <v>0</v>
          </cell>
          <cell r="K17" t="str">
            <v>F</v>
          </cell>
        </row>
        <row r="18">
          <cell r="G18">
            <v>1.5</v>
          </cell>
          <cell r="H18">
            <v>7</v>
          </cell>
          <cell r="J18">
            <v>7.5</v>
          </cell>
          <cell r="K18" t="str">
            <v>B</v>
          </cell>
        </row>
        <row r="19">
          <cell r="G19">
            <v>1.35</v>
          </cell>
          <cell r="H19">
            <v>-3</v>
          </cell>
          <cell r="J19">
            <v>0</v>
          </cell>
          <cell r="K19" t="str">
            <v>F</v>
          </cell>
        </row>
        <row r="20">
          <cell r="G20">
            <v>0.85</v>
          </cell>
          <cell r="H20">
            <v>6.5</v>
          </cell>
          <cell r="J20">
            <v>6.5</v>
          </cell>
          <cell r="K20" t="str">
            <v>C+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EB594-D473-4E50-A7F8-970D78FAD3F3}">
  <dimension ref="A1:F27"/>
  <sheetViews>
    <sheetView tabSelected="1" topLeftCell="A13" workbookViewId="0">
      <selection activeCell="C23" sqref="C23"/>
    </sheetView>
  </sheetViews>
  <sheetFormatPr defaultRowHeight="14.4" x14ac:dyDescent="0.3"/>
  <cols>
    <col min="1" max="1" width="22.5546875" bestFit="1" customWidth="1"/>
    <col min="3" max="3" width="22.6640625" customWidth="1"/>
    <col min="4" max="4" width="5.6640625" customWidth="1"/>
    <col min="5" max="5" width="18.6640625" customWidth="1"/>
    <col min="6" max="6" width="13.109375" customWidth="1"/>
  </cols>
  <sheetData>
    <row r="1" spans="1:6" x14ac:dyDescent="0.3">
      <c r="A1" s="16" t="s">
        <v>0</v>
      </c>
      <c r="B1" s="16"/>
      <c r="C1" s="16"/>
      <c r="D1" s="2"/>
      <c r="E1" s="17" t="s">
        <v>4</v>
      </c>
      <c r="F1" s="18"/>
    </row>
    <row r="2" spans="1:6" x14ac:dyDescent="0.3">
      <c r="A2" s="4" t="s">
        <v>1</v>
      </c>
      <c r="B2" s="4" t="s">
        <v>2</v>
      </c>
      <c r="C2" s="4" t="s">
        <v>3</v>
      </c>
      <c r="D2" s="2"/>
      <c r="E2" s="4" t="s">
        <v>5</v>
      </c>
      <c r="F2" s="4" t="s">
        <v>6</v>
      </c>
    </row>
    <row r="3" spans="1:6" x14ac:dyDescent="0.3">
      <c r="A3" s="2">
        <v>0</v>
      </c>
      <c r="B3" s="5" t="s">
        <v>7</v>
      </c>
      <c r="C3" s="2">
        <v>0</v>
      </c>
      <c r="D3" s="2"/>
      <c r="E3" s="3">
        <v>0</v>
      </c>
      <c r="F3" s="2">
        <v>1</v>
      </c>
    </row>
    <row r="4" spans="1:6" x14ac:dyDescent="0.3">
      <c r="A4" s="2">
        <v>4</v>
      </c>
      <c r="B4" s="5" t="s">
        <v>8</v>
      </c>
      <c r="C4" s="2">
        <v>1</v>
      </c>
      <c r="D4" s="2"/>
      <c r="E4" s="3">
        <v>1</v>
      </c>
      <c r="F4" s="2">
        <v>0.5</v>
      </c>
    </row>
    <row r="5" spans="1:6" x14ac:dyDescent="0.3">
      <c r="A5" s="2">
        <v>5</v>
      </c>
      <c r="B5" s="5" t="s">
        <v>9</v>
      </c>
      <c r="C5" s="2">
        <v>1.5</v>
      </c>
      <c r="D5" s="2"/>
      <c r="E5" s="3">
        <v>2</v>
      </c>
      <c r="F5" s="2">
        <v>0.25</v>
      </c>
    </row>
    <row r="6" spans="1:6" x14ac:dyDescent="0.3">
      <c r="A6" s="2">
        <v>5.5</v>
      </c>
      <c r="B6" s="5" t="s">
        <v>10</v>
      </c>
      <c r="C6" s="2">
        <v>2</v>
      </c>
      <c r="D6" s="2"/>
      <c r="E6" s="2"/>
      <c r="F6" s="2"/>
    </row>
    <row r="7" spans="1:6" x14ac:dyDescent="0.3">
      <c r="A7" s="2">
        <v>6.5</v>
      </c>
      <c r="B7" s="5" t="s">
        <v>11</v>
      </c>
      <c r="C7" s="2">
        <v>2.5</v>
      </c>
      <c r="D7" s="2"/>
      <c r="E7" s="2"/>
      <c r="F7" s="2"/>
    </row>
    <row r="8" spans="1:6" x14ac:dyDescent="0.3">
      <c r="A8" s="2">
        <v>7</v>
      </c>
      <c r="B8" s="5" t="s">
        <v>12</v>
      </c>
      <c r="C8" s="2">
        <v>3</v>
      </c>
      <c r="D8" s="2"/>
      <c r="E8" s="2"/>
      <c r="F8" s="2"/>
    </row>
    <row r="9" spans="1:6" x14ac:dyDescent="0.3">
      <c r="A9" s="2">
        <v>8</v>
      </c>
      <c r="B9" s="5" t="s">
        <v>13</v>
      </c>
      <c r="C9" s="2">
        <v>3.5</v>
      </c>
      <c r="D9" s="2"/>
      <c r="E9" s="2"/>
      <c r="F9" s="2"/>
    </row>
    <row r="10" spans="1:6" x14ac:dyDescent="0.3">
      <c r="A10" s="2">
        <v>9</v>
      </c>
      <c r="B10" s="5" t="s">
        <v>14</v>
      </c>
      <c r="C10" s="2">
        <v>4</v>
      </c>
      <c r="D10" s="2"/>
      <c r="E10" s="2"/>
      <c r="F10" s="2"/>
    </row>
    <row r="11" spans="1:6" x14ac:dyDescent="0.3">
      <c r="A11" s="2"/>
      <c r="B11" s="2"/>
      <c r="C11" s="2"/>
      <c r="D11" s="2"/>
      <c r="E11" s="2"/>
      <c r="F11" s="2"/>
    </row>
    <row r="12" spans="1:6" x14ac:dyDescent="0.3">
      <c r="A12" s="17" t="s">
        <v>43</v>
      </c>
      <c r="B12" s="19"/>
      <c r="C12" s="18"/>
      <c r="D12" s="2"/>
      <c r="E12" s="20" t="s">
        <v>47</v>
      </c>
      <c r="F12" s="21"/>
    </row>
    <row r="13" spans="1:6" s="1" customFormat="1" ht="30" customHeight="1" x14ac:dyDescent="0.3">
      <c r="A13" s="4" t="s">
        <v>44</v>
      </c>
      <c r="B13" s="4" t="s">
        <v>45</v>
      </c>
      <c r="C13" s="4" t="s">
        <v>46</v>
      </c>
      <c r="D13" s="3"/>
      <c r="E13" s="6" t="s">
        <v>48</v>
      </c>
      <c r="F13" s="7" t="s">
        <v>49</v>
      </c>
    </row>
    <row r="14" spans="1:6" x14ac:dyDescent="0.3">
      <c r="A14" s="3">
        <v>1</v>
      </c>
      <c r="B14" s="3" t="s">
        <v>20</v>
      </c>
      <c r="C14" s="2" t="s">
        <v>21</v>
      </c>
      <c r="D14" s="2"/>
      <c r="E14" s="3" t="s">
        <v>14</v>
      </c>
      <c r="F14" s="2" cm="1">
        <f t="array" ref="F14:F21">COUNTIF('[1]Sheet Tổng hợp điểm'!$K$7:$K$20, E14:E21)</f>
        <v>0</v>
      </c>
    </row>
    <row r="15" spans="1:6" x14ac:dyDescent="0.3">
      <c r="A15" s="3">
        <v>2</v>
      </c>
      <c r="B15" s="3" t="s">
        <v>28</v>
      </c>
      <c r="C15" s="2" t="s">
        <v>29</v>
      </c>
      <c r="D15" s="2"/>
      <c r="E15" s="3" t="s">
        <v>13</v>
      </c>
      <c r="F15" s="2">
        <v>1</v>
      </c>
    </row>
    <row r="16" spans="1:6" x14ac:dyDescent="0.3">
      <c r="A16" s="3">
        <v>3</v>
      </c>
      <c r="B16" s="3" t="s">
        <v>30</v>
      </c>
      <c r="C16" s="2" t="s">
        <v>31</v>
      </c>
      <c r="D16" s="2"/>
      <c r="E16" s="3" t="s">
        <v>13</v>
      </c>
      <c r="F16" s="2">
        <v>1</v>
      </c>
    </row>
    <row r="17" spans="1:6" x14ac:dyDescent="0.3">
      <c r="A17" s="3">
        <v>4</v>
      </c>
      <c r="B17" s="3" t="s">
        <v>26</v>
      </c>
      <c r="C17" s="2" t="s">
        <v>27</v>
      </c>
      <c r="D17" s="2"/>
      <c r="E17" s="3" t="s">
        <v>11</v>
      </c>
      <c r="F17" s="2">
        <v>2</v>
      </c>
    </row>
    <row r="18" spans="1:6" x14ac:dyDescent="0.3">
      <c r="A18" s="3">
        <v>5</v>
      </c>
      <c r="B18" s="3" t="s">
        <v>22</v>
      </c>
      <c r="C18" s="2" t="s">
        <v>23</v>
      </c>
      <c r="D18" s="2"/>
      <c r="E18" s="3" t="s">
        <v>10</v>
      </c>
      <c r="F18" s="2">
        <v>5</v>
      </c>
    </row>
    <row r="19" spans="1:6" x14ac:dyDescent="0.3">
      <c r="A19" s="3">
        <v>6</v>
      </c>
      <c r="B19" s="3" t="s">
        <v>16</v>
      </c>
      <c r="C19" s="2" t="s">
        <v>17</v>
      </c>
      <c r="D19" s="2"/>
      <c r="E19" s="3" t="s">
        <v>9</v>
      </c>
      <c r="F19" s="2">
        <v>1</v>
      </c>
    </row>
    <row r="20" spans="1:6" x14ac:dyDescent="0.3">
      <c r="A20" s="3">
        <v>7</v>
      </c>
      <c r="B20" s="3" t="s">
        <v>34</v>
      </c>
      <c r="C20" s="2" t="s">
        <v>35</v>
      </c>
      <c r="D20" s="2"/>
      <c r="E20" s="3" t="s">
        <v>8</v>
      </c>
      <c r="F20" s="2">
        <v>0</v>
      </c>
    </row>
    <row r="21" spans="1:6" x14ac:dyDescent="0.3">
      <c r="A21" s="3">
        <v>8</v>
      </c>
      <c r="B21" s="3" t="s">
        <v>40</v>
      </c>
      <c r="C21" s="2" t="s">
        <v>41</v>
      </c>
      <c r="D21" s="2"/>
      <c r="E21" s="3" t="s">
        <v>7</v>
      </c>
      <c r="F21" s="2">
        <v>3</v>
      </c>
    </row>
    <row r="22" spans="1:6" x14ac:dyDescent="0.3">
      <c r="A22" s="3">
        <v>9</v>
      </c>
      <c r="B22" s="3" t="s">
        <v>36</v>
      </c>
      <c r="C22" s="2" t="s">
        <v>37</v>
      </c>
      <c r="D22" s="2"/>
      <c r="E22" s="2"/>
      <c r="F22" s="2"/>
    </row>
    <row r="23" spans="1:6" x14ac:dyDescent="0.3">
      <c r="A23" s="3">
        <v>10</v>
      </c>
      <c r="B23" s="3" t="s">
        <v>18</v>
      </c>
      <c r="C23" s="2" t="s">
        <v>19</v>
      </c>
      <c r="D23" s="2"/>
      <c r="E23" s="17" t="s">
        <v>50</v>
      </c>
      <c r="F23" s="18"/>
    </row>
    <row r="24" spans="1:6" x14ac:dyDescent="0.3">
      <c r="A24" s="3">
        <v>11</v>
      </c>
      <c r="B24" s="3" t="s">
        <v>32</v>
      </c>
      <c r="C24" s="2" t="s">
        <v>33</v>
      </c>
      <c r="D24" s="2"/>
      <c r="E24" s="10" t="s">
        <v>51</v>
      </c>
      <c r="F24" s="13" cm="1">
        <f t="array" ref="F24">SUM(('[1]Sheet Tổng hợp điểm'!$G$12:$G$20=0) + ('[1]Sheet Tổng hợp điểm'!$H$12:$H$20=-3))</f>
        <v>3</v>
      </c>
    </row>
    <row r="25" spans="1:6" x14ac:dyDescent="0.3">
      <c r="A25" s="3">
        <v>12</v>
      </c>
      <c r="B25" s="3" t="s">
        <v>15</v>
      </c>
      <c r="C25" s="2" t="s">
        <v>42</v>
      </c>
      <c r="D25" s="2"/>
      <c r="E25" s="11"/>
      <c r="F25" s="14"/>
    </row>
    <row r="26" spans="1:6" x14ac:dyDescent="0.3">
      <c r="A26" s="3">
        <v>13</v>
      </c>
      <c r="B26" s="3" t="s">
        <v>24</v>
      </c>
      <c r="C26" s="2" t="s">
        <v>25</v>
      </c>
      <c r="D26" s="2"/>
      <c r="E26" s="12"/>
      <c r="F26" s="15"/>
    </row>
    <row r="27" spans="1:6" ht="57.6" x14ac:dyDescent="0.3">
      <c r="A27" s="3">
        <v>14</v>
      </c>
      <c r="B27" s="3" t="s">
        <v>38</v>
      </c>
      <c r="C27" s="2" t="s">
        <v>39</v>
      </c>
      <c r="D27" s="2"/>
      <c r="E27" s="9" t="s">
        <v>52</v>
      </c>
      <c r="F27" s="8">
        <f>COUNTIFS('[1]Sheet Tổng hợp điểm'!$J$7:$J$20, "&gt;=7", '[1]Sheet Tổng hợp điểm'!$K$7:$K$20, "B+") + COUNTIFS('[1]Sheet Tổng hợp điểm'!$J$7:$J$20, "&gt;=7", '[1]Sheet Tổng hợp điểm'!$K$7:$K$20, "A")</f>
        <v>1</v>
      </c>
    </row>
  </sheetData>
  <mergeCells count="7">
    <mergeCell ref="E24:E26"/>
    <mergeCell ref="F24:F26"/>
    <mergeCell ref="A1:C1"/>
    <mergeCell ref="E1:F1"/>
    <mergeCell ref="A12:C12"/>
    <mergeCell ref="E12:F12"/>
    <mergeCell ref="E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nhattan26112001@gmail.com</dc:creator>
  <cp:lastModifiedBy>Dat Tien</cp:lastModifiedBy>
  <dcterms:created xsi:type="dcterms:W3CDTF">2026-09-23T07:52:50Z</dcterms:created>
  <dcterms:modified xsi:type="dcterms:W3CDTF">2026-09-24T08:57:14Z</dcterms:modified>
</cp:coreProperties>
</file>