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HocCIT\TH3NTCNS\"/>
    </mc:Choice>
  </mc:AlternateContent>
  <xr:revisionPtr revIDLastSave="0" documentId="13_ncr:1_{D57B4CD4-DFA6-47D9-94E1-A9B3827B9185}" xr6:coauthVersionLast="47" xr6:coauthVersionMax="47" xr10:uidLastSave="{00000000-0000-0000-0000-000000000000}"/>
  <bookViews>
    <workbookView xWindow="-108" yWindow="-108" windowWidth="23256" windowHeight="12396" xr2:uid="{D47C6CA6-CE27-45C3-BC6B-BA2273A31850}"/>
  </bookViews>
  <sheets>
    <sheet name="Sheet Tổng hợp điểm" sheetId="1" r:id="rId1"/>
    <sheet name="Sheet Điểm thực hành các buổi" sheetId="5" r:id="rId2"/>
    <sheet name="Sheet Điểm bài tập lớn" sheetId="6" r:id="rId3"/>
    <sheet name="Sheet Điểm lý thuyết" sheetId="7" r:id="rId4"/>
    <sheet name="Sheet Các bảng tham chiếu &amp; Thố" sheetId="9" r:id="rId5"/>
    <sheet name="Sinh viên Điểm &lt;7" sheetId="2" r:id="rId6"/>
    <sheet name="Sinh viên Điểm &gt;=7" sheetId="3" r:id="rId7"/>
  </sheets>
  <externalReferences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F24" i="9" a="1"/>
  <c r="F24" i="9" s="1"/>
  <c r="H7" i="1"/>
  <c r="G7" i="1"/>
  <c r="F7" i="1"/>
  <c r="E7" i="1"/>
  <c r="C8" i="1"/>
  <c r="C7" i="1"/>
  <c r="H20" i="1" l="1"/>
  <c r="H19" i="1"/>
  <c r="H18" i="1"/>
  <c r="H17" i="1"/>
  <c r="H16" i="1"/>
  <c r="H15" i="1"/>
  <c r="H14" i="1"/>
  <c r="H13" i="1"/>
  <c r="H12" i="1"/>
  <c r="H11" i="1"/>
  <c r="H10" i="1"/>
  <c r="H9" i="1"/>
  <c r="H8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I7" i="1" s="1" a="1"/>
  <c r="I7" i="1" s="1"/>
  <c r="J7" i="1" s="1" a="1"/>
  <c r="C20" i="1"/>
  <c r="C19" i="1"/>
  <c r="C18" i="1"/>
  <c r="C17" i="1"/>
  <c r="C16" i="1"/>
  <c r="C15" i="1"/>
  <c r="C14" i="1"/>
  <c r="C13" i="1"/>
  <c r="C12" i="1"/>
  <c r="C11" i="1"/>
  <c r="C10" i="1"/>
  <c r="C9" i="1"/>
  <c r="J7" i="1" l="1"/>
  <c r="K7" i="1" a="1"/>
  <c r="K7" i="1" s="1"/>
  <c r="F14" i="9" s="1" a="1"/>
  <c r="F14" i="9" s="1"/>
  <c r="A7" i="3" a="1"/>
  <c r="A7" i="3" s="1"/>
  <c r="F27" i="9" l="1"/>
  <c r="A7" i="2" a="1"/>
  <c r="A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<sst xmlns="http://schemas.openxmlformats.org/spreadsheetml/2006/main" count="239" uniqueCount="88">
  <si>
    <t>ĐIỂM THI HK1-2018-2019 (CT428)</t>
  </si>
  <si>
    <t xml:space="preserve">Ma CB </t>
  </si>
  <si>
    <t xml:space="preserve">Ho va ten  </t>
  </si>
  <si>
    <t>Nguyen Minh Trung</t>
  </si>
  <si>
    <t>Ma MH</t>
  </si>
  <si>
    <t>CT428</t>
  </si>
  <si>
    <t xml:space="preserve">Ma NH </t>
  </si>
  <si>
    <t>Nam hoc</t>
  </si>
  <si>
    <t>2020-2021</t>
  </si>
  <si>
    <t>Hoc ky</t>
  </si>
  <si>
    <t xml:space="preserve">STT        </t>
  </si>
  <si>
    <t>Mã SV</t>
  </si>
  <si>
    <t>Họ và Tên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</si>
  <si>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</si>
  <si>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</si>
  <si>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</si>
  <si>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</si>
  <si>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</si>
  <si>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</si>
  <si>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</si>
  <si>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</si>
  <si>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</si>
  <si>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</si>
  <si>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</si>
  <si>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</si>
  <si>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</si>
  <si>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</si>
  <si>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</si>
  <si>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</si>
  <si>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</si>
  <si>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</si>
  <si>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</si>
  <si>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 1</t>
  </si>
  <si>
    <t>Điểm TH 2</t>
  </si>
  <si>
    <t>Điểm TH 3</t>
  </si>
  <si>
    <t>Điểm thực hành các buổi</t>
  </si>
  <si>
    <t>STT</t>
  </si>
  <si>
    <t>Họ và tên</t>
  </si>
  <si>
    <t>B1505719</t>
  </si>
  <si>
    <t>Nguyễn Văn Hiếu</t>
  </si>
  <si>
    <t>B1505915</t>
  </si>
  <si>
    <t>Lý Minh Trí</t>
  </si>
  <si>
    <t>B1509874</t>
  </si>
  <si>
    <t>Nguyễn Kiều My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</si>
  <si>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</si>
  <si>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</si>
  <si>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</si>
  <si>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</si>
  <si>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</si>
  <si>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</si>
  <si>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</si>
  <si>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</si>
  <si>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</si>
  <si>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</si>
  <si>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</si>
  <si>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</si>
  <si>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</si>
  <si>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</si>
  <si>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</si>
  <si>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</si>
  <si>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</si>
  <si>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</si>
  <si>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</si>
  <si>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</si>
  <si>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</si>
  <si>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</si>
  <si>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lý thuyết</t>
  </si>
  <si>
    <t>Nguyễn Phước Hiếu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</si>
  <si>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</si>
  <si>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</si>
  <si>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</si>
  <si>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</si>
  <si>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</si>
  <si>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</si>
  <si>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</si>
  <si>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</si>
  <si>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</si>
  <si>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</si>
  <si>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</si>
  <si>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</si>
  <si>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</si>
  <si>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</si>
  <si>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>Bảng thống kê theo điểm chữ</t>
  </si>
  <si>
    <t>Điểm Chữ</t>
  </si>
  <si>
    <t>Số lượng sinh viên</t>
  </si>
  <si>
    <t>Bảng thống kê SV</t>
  </si>
  <si>
    <t>Số sinh viên điểm BT lớn=0 hoặc điểm LT =-3</t>
  </si>
  <si>
    <t>Số SV có Điểm theo thang điểm 10 &gt;= 7 và có Điểm chữ là B+ hoặc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</si>
</sst>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0" xfId="0" applyFont="1" applyFill="1"/>
    <xf numFmtId="0" fontId="2" fillId="3" borderId="1" xfId="0" applyFont="1" applyFill="1" applyBorder="1"/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u="none" strike="noStrike">
                <a:effectLst/>
              </a:rPr>
              <a:t>Thống kê tổng số lượng Sinh viên theo điểm chữ</a:t>
            </a:r>
            <a:r>
              <a:rPr lang="en-US" sz="1800" b="0" u="none" strike="noStrike">
                <a:effectLst/>
              </a:rPr>
              <a:t>.</a:t>
            </a:r>
          </a:p>
          <a:p>
            <a:pPr>
              <a:defRPr/>
            </a:pPr>
            <a:br>
              <a:rPr lang="en-US"/>
            </a:br>
            <a:endParaRPr lang="en-US"/>
          </a:p>
        </c:rich>
      </c:tx>
      <c:layout>
        <c:manualLayout>
          <c:xMode val="edge"/>
          <c:yMode val="edge"/>
          <c:x val="9.2751130405770682E-2"/>
          <c:y val="2.409631485955712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759466589377709"/>
          <c:y val="6.7638641321405762E-2"/>
          <c:w val="0.73208041081021913"/>
          <c:h val="0.932361418702919"/>
        </c:manualLayout>
      </c:layout>
      <c:pie3DChart>
        <c:varyColors val="1"/>
        <c:ser>
          <c:idx val="0"/>
          <c:order val="0"/>
          <c:tx>
            <c:strRef>
              <c:f>'Sheet Các bảng tham chiếu &amp; Thố'!$F$13</c:f>
              <c:strCache>
                <c:ptCount val="1"/>
                <c:pt idx="0">
                  <c:v>Số lượng sinh viên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966-4670-96E9-297FDD601C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60D-4849-80F1-B96CB51819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60D-4849-80F1-B96CB51819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60D-4849-80F1-B96CB51819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60D-4849-80F1-B96CB51819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F966-4670-96E9-297FDD601C3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966-4670-96E9-297FDD601C3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A60D-4849-80F1-B96CB51819D1}"/>
              </c:ext>
            </c:extLst>
          </c:dPt>
          <c:dLbls>
            <c:dLbl>
              <c:idx val="0"/>
              <c:layout>
                <c:manualLayout>
                  <c:x val="7.0296963381546894E-3"/>
                  <c:y val="0.1051925889485188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66-4670-96E9-297FDD601C38}"/>
                </c:ext>
              </c:extLst>
            </c:dLbl>
            <c:dLbl>
              <c:idx val="5"/>
              <c:layout>
                <c:manualLayout>
                  <c:x val="8.9346734608605663E-2"/>
                  <c:y val="3.1493229464389263E-3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74662701578869E-2"/>
                      <c:h val="6.51760875823001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966-4670-96E9-297FDD601C38}"/>
                </c:ext>
              </c:extLst>
            </c:dLbl>
            <c:dLbl>
              <c:idx val="6"/>
              <c:layout>
                <c:manualLayout>
                  <c:x val="7.9365225686103227E-2"/>
                  <c:y val="2.2088404389355557E-2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330065902930622E-2"/>
                      <c:h val="6.17823306125884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966-4670-96E9-297FDD601C3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'Sheet Các bảng tham chiếu &amp; Thố'!$E$14:$E$21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'Sheet Các bảng tham chiếu &amp; Thố'!$F$14:$F$21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6-4670-96E9-297FDD601C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164212923836929"/>
          <c:y val="0.24108832646898928"/>
          <c:w val="7.4370398543834385E-2"/>
          <c:h val="0.6536617638701388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69505</xdr:colOff>
      <xdr:row>12</xdr:row>
      <xdr:rowOff>135688</xdr:rowOff>
    </xdr:from>
    <xdr:to>
      <xdr:col>15</xdr:col>
      <xdr:colOff>24011</xdr:colOff>
      <xdr:row>39</xdr:row>
      <xdr:rowOff>10583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54D56-4ABB-F9E7-C224-2F20E849E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iHocCIT\TH3NTCNS\1.2.1.5.xlsx" TargetMode="External"/><Relationship Id="rId1" Type="http://schemas.openxmlformats.org/officeDocument/2006/relationships/externalLinkPath" Target="1.2.1.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iHocCIT\TH3NTCNS\1.2.1.2.xlsx" TargetMode="External"/><Relationship Id="rId1" Type="http://schemas.openxmlformats.org/officeDocument/2006/relationships/externalLinkPath" Target="1.2.1.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iHocCIT\TH3NTCNS\1.2.1.3.xlsx" TargetMode="External"/><Relationship Id="rId1" Type="http://schemas.openxmlformats.org/officeDocument/2006/relationships/externalLinkPath" Target="1.2.1.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iHocCIT\TH3NTCNS\1.2.1.4.xlsx" TargetMode="External"/><Relationship Id="rId1" Type="http://schemas.openxmlformats.org/officeDocument/2006/relationships/externalLinkPath" Target="1.2.1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A3">
            <v>0</v>
          </cell>
          <cell r="B3" t="str">
            <v>F</v>
          </cell>
          <cell r="E3">
            <v>0</v>
          </cell>
          <cell r="F3">
            <v>1</v>
          </cell>
        </row>
        <row r="4">
          <cell r="A4">
            <v>4</v>
          </cell>
          <cell r="B4" t="str">
            <v>D</v>
          </cell>
          <cell r="E4">
            <v>1</v>
          </cell>
          <cell r="F4">
            <v>0.5</v>
          </cell>
        </row>
        <row r="5">
          <cell r="A5">
            <v>5</v>
          </cell>
          <cell r="B5" t="str">
            <v>D+</v>
          </cell>
          <cell r="E5">
            <v>2</v>
          </cell>
          <cell r="F5">
            <v>0.25</v>
          </cell>
        </row>
        <row r="6">
          <cell r="A6">
            <v>5.5</v>
          </cell>
          <cell r="B6" t="str">
            <v>C</v>
          </cell>
        </row>
        <row r="7">
          <cell r="A7">
            <v>6.5</v>
          </cell>
          <cell r="B7" t="str">
            <v>C+</v>
          </cell>
        </row>
        <row r="8">
          <cell r="A8">
            <v>7</v>
          </cell>
          <cell r="B8" t="str">
            <v>B</v>
          </cell>
        </row>
        <row r="9">
          <cell r="A9">
            <v>8</v>
          </cell>
          <cell r="B9" t="str">
            <v>B+</v>
          </cell>
        </row>
        <row r="10">
          <cell r="A10">
            <v>9</v>
          </cell>
          <cell r="B10" t="str">
            <v>A</v>
          </cell>
        </row>
        <row r="14">
          <cell r="B14" t="str">
            <v>B1509929</v>
          </cell>
          <cell r="C14" t="str">
            <v>Đặng Duy Linh</v>
          </cell>
        </row>
        <row r="15">
          <cell r="B15" t="str">
            <v>B1605285</v>
          </cell>
          <cell r="C15" t="str">
            <v>Huỳnh Thị Diễm</v>
          </cell>
        </row>
        <row r="16">
          <cell r="B16" t="str">
            <v>B1605291</v>
          </cell>
          <cell r="C16" t="str">
            <v>Trần Thanh Nguyên</v>
          </cell>
        </row>
        <row r="17">
          <cell r="B17" t="str">
            <v>B1605249</v>
          </cell>
          <cell r="C17" t="str">
            <v>Lê Minh Thông</v>
          </cell>
        </row>
        <row r="18">
          <cell r="B18" t="str">
            <v>B1605223</v>
          </cell>
          <cell r="C18" t="str">
            <v>Lê Thị Trúc Linh</v>
          </cell>
        </row>
        <row r="19">
          <cell r="B19" t="str">
            <v>B1505915</v>
          </cell>
          <cell r="C19" t="str">
            <v>Lý Minh Trí</v>
          </cell>
        </row>
        <row r="20">
          <cell r="B20" t="str">
            <v>B1607025</v>
          </cell>
          <cell r="C20" t="str">
            <v>Nguyễn Chí Thanh</v>
          </cell>
        </row>
        <row r="21">
          <cell r="B21" t="str">
            <v>B1609773</v>
          </cell>
          <cell r="C21" t="str">
            <v>Nguyễn Duy Khanh</v>
          </cell>
        </row>
        <row r="22">
          <cell r="B22" t="str">
            <v>B1609759</v>
          </cell>
          <cell r="C22" t="str">
            <v>Nguyễn Hải Anh</v>
          </cell>
        </row>
        <row r="23">
          <cell r="B23" t="str">
            <v>B1509874</v>
          </cell>
          <cell r="C23" t="str">
            <v>Nguyễn Kiều My</v>
          </cell>
        </row>
        <row r="24">
          <cell r="B24" t="str">
            <v>B1605344</v>
          </cell>
          <cell r="C24" t="str">
            <v>Nguyễn Thị Đào</v>
          </cell>
        </row>
        <row r="25">
          <cell r="B25" t="str">
            <v>B1505719</v>
          </cell>
          <cell r="C25" t="str">
            <v>Nguyễn Văn Hiếu</v>
          </cell>
        </row>
        <row r="26">
          <cell r="B26" t="str">
            <v>B1605235</v>
          </cell>
          <cell r="C26" t="str">
            <v>Phạm Thị Huỳnh</v>
          </cell>
        </row>
        <row r="27">
          <cell r="B27" t="str">
            <v>B1609765</v>
          </cell>
          <cell r="C27" t="str">
            <v>Trần Nam Dương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Điểm thực hành các buổi"/>
    </sheetNames>
    <sheetDataSet>
      <sheetData sheetId="0">
        <row r="3">
          <cell r="B3" t="str">
            <v>B1505719</v>
          </cell>
          <cell r="C3" t="str">
            <v>Nguyễn Văn Hiếu</v>
          </cell>
          <cell r="D3">
            <v>0.45</v>
          </cell>
          <cell r="E3">
            <v>0.25</v>
          </cell>
          <cell r="F3">
            <v>0.3</v>
          </cell>
        </row>
        <row r="4">
          <cell r="B4" t="str">
            <v>B1505915</v>
          </cell>
          <cell r="C4" t="str">
            <v>Lý Minh Trí</v>
          </cell>
          <cell r="D4">
            <v>0.5</v>
          </cell>
          <cell r="E4">
            <v>0.35</v>
          </cell>
          <cell r="F4">
            <v>0.4</v>
          </cell>
        </row>
        <row r="5">
          <cell r="B5" t="str">
            <v>B1509874</v>
          </cell>
          <cell r="C5" t="str">
            <v>Nguyễn Kiều My</v>
          </cell>
          <cell r="D5">
            <v>0.25</v>
          </cell>
          <cell r="E5">
            <v>0.25</v>
          </cell>
          <cell r="F5">
            <v>0.3</v>
          </cell>
        </row>
        <row r="6">
          <cell r="B6" t="str">
            <v>B1509929</v>
          </cell>
          <cell r="C6" t="str">
            <v>Đặng Duy Linh</v>
          </cell>
          <cell r="D6">
            <v>0.4</v>
          </cell>
          <cell r="E6">
            <v>0.25</v>
          </cell>
          <cell r="F6">
            <v>0.35</v>
          </cell>
        </row>
        <row r="7">
          <cell r="B7" t="str">
            <v>B1605223</v>
          </cell>
          <cell r="C7" t="str">
            <v>Lê Thị Trúc Linh</v>
          </cell>
          <cell r="D7">
            <v>0.45</v>
          </cell>
          <cell r="E7">
            <v>0.4</v>
          </cell>
          <cell r="F7">
            <v>0.35</v>
          </cell>
        </row>
        <row r="8">
          <cell r="B8" t="str">
            <v>B1605235</v>
          </cell>
          <cell r="C8" t="str">
            <v>Phạm Thị Huỳnh</v>
          </cell>
          <cell r="D8">
            <v>0.4</v>
          </cell>
          <cell r="E8">
            <v>0.45</v>
          </cell>
          <cell r="F8">
            <v>0.5</v>
          </cell>
        </row>
        <row r="9">
          <cell r="B9" t="str">
            <v>B1605249</v>
          </cell>
          <cell r="C9" t="str">
            <v>Lê Minh Thông</v>
          </cell>
          <cell r="D9">
            <v>0.4</v>
          </cell>
          <cell r="E9">
            <v>0.4</v>
          </cell>
          <cell r="F9">
            <v>0.4</v>
          </cell>
        </row>
        <row r="10">
          <cell r="B10" t="str">
            <v>B1605285</v>
          </cell>
          <cell r="C10" t="str">
            <v>Huỳnh Thị Diễm</v>
          </cell>
          <cell r="D10">
            <v>0.45</v>
          </cell>
          <cell r="E10">
            <v>0.4</v>
          </cell>
          <cell r="F10">
            <v>0.45</v>
          </cell>
        </row>
        <row r="11">
          <cell r="B11" t="str">
            <v>B1605291</v>
          </cell>
          <cell r="C11" t="str">
            <v>Trần Thanh Nguyên</v>
          </cell>
          <cell r="D11">
            <v>0.45</v>
          </cell>
          <cell r="E11">
            <v>0.4</v>
          </cell>
          <cell r="F11">
            <v>0.4</v>
          </cell>
        </row>
        <row r="12">
          <cell r="B12" t="str">
            <v>B1605344</v>
          </cell>
          <cell r="C12" t="str">
            <v>Nguyễn Thị Đào</v>
          </cell>
          <cell r="D12">
            <v>0.3</v>
          </cell>
          <cell r="E12">
            <v>0.5</v>
          </cell>
          <cell r="F12">
            <v>0.45</v>
          </cell>
        </row>
        <row r="13">
          <cell r="B13" t="str">
            <v>B1607025</v>
          </cell>
          <cell r="C13" t="str">
            <v>Nguyễn Chí Thanh</v>
          </cell>
          <cell r="D13">
            <v>0.4</v>
          </cell>
          <cell r="E13">
            <v>0.45</v>
          </cell>
          <cell r="F13">
            <v>0.4</v>
          </cell>
        </row>
        <row r="14">
          <cell r="B14" t="str">
            <v>B1609759</v>
          </cell>
          <cell r="C14" t="str">
            <v>Nguyễn Hải Anh</v>
          </cell>
          <cell r="D14">
            <v>0.5</v>
          </cell>
          <cell r="E14">
            <v>0.5</v>
          </cell>
          <cell r="F14">
            <v>0.45</v>
          </cell>
        </row>
        <row r="15">
          <cell r="B15" t="str">
            <v>B1609765</v>
          </cell>
          <cell r="C15" t="str">
            <v>Trần Nam Dương</v>
          </cell>
          <cell r="D15">
            <v>0.4</v>
          </cell>
          <cell r="E15">
            <v>0.4</v>
          </cell>
          <cell r="F15">
            <v>0.35</v>
          </cell>
        </row>
        <row r="16">
          <cell r="B16" t="str">
            <v>B1609773</v>
          </cell>
          <cell r="C16" t="str">
            <v>Nguyễn Duy Khanh</v>
          </cell>
          <cell r="D16">
            <v>0.35</v>
          </cell>
          <cell r="E16">
            <v>0.4</v>
          </cell>
          <cell r="F16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Điểm thực hành các buổi"/>
    </sheetNames>
    <sheetDataSet>
      <sheetData sheetId="0">
        <row r="3">
          <cell r="B3" t="str">
            <v>B1505719</v>
          </cell>
          <cell r="C3" t="str">
            <v>Nguyễn Văn Hiếu</v>
          </cell>
          <cell r="D3">
            <v>0.5</v>
          </cell>
        </row>
        <row r="4">
          <cell r="B4" t="str">
            <v>B1505915</v>
          </cell>
          <cell r="C4" t="str">
            <v>Lý Minh Trí</v>
          </cell>
          <cell r="D4">
            <v>1</v>
          </cell>
        </row>
        <row r="5">
          <cell r="B5" t="str">
            <v>B1509874</v>
          </cell>
          <cell r="C5" t="str">
            <v>Nguyễn Kiều My</v>
          </cell>
          <cell r="D5">
            <v>0.5</v>
          </cell>
        </row>
        <row r="6">
          <cell r="B6" t="str">
            <v>B1509929</v>
          </cell>
          <cell r="C6" t="str">
            <v>Đặng Duy Linh</v>
          </cell>
          <cell r="D6">
            <v>1</v>
          </cell>
        </row>
        <row r="7">
          <cell r="B7" t="str">
            <v>B1605223</v>
          </cell>
          <cell r="C7" t="str">
            <v>Lê Thị Trúc Linh</v>
          </cell>
          <cell r="D7">
            <v>0.75</v>
          </cell>
        </row>
        <row r="8">
          <cell r="B8" t="str">
            <v>B1605235</v>
          </cell>
          <cell r="C8" t="str">
            <v>Phạm Thị Huỳnh</v>
          </cell>
          <cell r="D8">
            <v>1.2</v>
          </cell>
        </row>
        <row r="9">
          <cell r="B9" t="str">
            <v>B1605249</v>
          </cell>
          <cell r="C9" t="str">
            <v>Lê Minh Thông</v>
          </cell>
          <cell r="D9">
            <v>1</v>
          </cell>
        </row>
        <row r="10">
          <cell r="B10" t="str">
            <v>B1605285</v>
          </cell>
          <cell r="C10" t="str">
            <v>Huỳnh Thị Diễm</v>
          </cell>
          <cell r="D10">
            <v>0</v>
          </cell>
        </row>
        <row r="11">
          <cell r="B11" t="str">
            <v>B1605291</v>
          </cell>
          <cell r="C11" t="str">
            <v>Trần Thanh Nguyên</v>
          </cell>
          <cell r="D11">
            <v>0.75</v>
          </cell>
        </row>
        <row r="12">
          <cell r="B12" t="str">
            <v>B1605344</v>
          </cell>
          <cell r="C12" t="str">
            <v>Nguyễn Thị Đào</v>
          </cell>
          <cell r="D12">
            <v>0.3</v>
          </cell>
        </row>
        <row r="13">
          <cell r="B13" t="str">
            <v>B1607025</v>
          </cell>
          <cell r="C13" t="str">
            <v>Nguyễn Chí Thanh</v>
          </cell>
          <cell r="D13">
            <v>0.3</v>
          </cell>
        </row>
        <row r="14">
          <cell r="B14" t="str">
            <v>B1609759</v>
          </cell>
          <cell r="C14" t="str">
            <v>Nguyễn Hải Anh</v>
          </cell>
          <cell r="D14">
            <v>1.5</v>
          </cell>
        </row>
        <row r="15">
          <cell r="B15" t="str">
            <v>B1609765</v>
          </cell>
          <cell r="C15" t="str">
            <v>Trần Nam Dương</v>
          </cell>
          <cell r="D15">
            <v>1.35</v>
          </cell>
        </row>
        <row r="16">
          <cell r="B16" t="str">
            <v>B1609773</v>
          </cell>
          <cell r="C16" t="str">
            <v>Nguyễn Duy Khanh</v>
          </cell>
          <cell r="D16">
            <v>0.85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Điểm thực hành các buổi"/>
    </sheetNames>
    <sheetDataSet>
      <sheetData sheetId="0">
        <row r="3">
          <cell r="B3" t="str">
            <v>B1505719</v>
          </cell>
          <cell r="C3" t="str">
            <v>Nguyễn Phước Hiếu</v>
          </cell>
          <cell r="D3">
            <v>4.2</v>
          </cell>
        </row>
        <row r="4">
          <cell r="B4" t="str">
            <v>B1505915</v>
          </cell>
          <cell r="C4" t="str">
            <v>Lý Minh Trí</v>
          </cell>
          <cell r="D4">
            <v>5.8</v>
          </cell>
        </row>
        <row r="5">
          <cell r="B5" t="str">
            <v>B1509874</v>
          </cell>
          <cell r="C5" t="str">
            <v>Nguyễn Kiều My</v>
          </cell>
          <cell r="D5">
            <v>5.8</v>
          </cell>
        </row>
        <row r="6">
          <cell r="B6" t="str">
            <v>B1509929</v>
          </cell>
          <cell r="C6" t="str">
            <v>Đặng Duy Linh</v>
          </cell>
          <cell r="D6">
            <v>4.5</v>
          </cell>
        </row>
        <row r="7">
          <cell r="B7" t="str">
            <v>B1605223</v>
          </cell>
          <cell r="C7" t="str">
            <v>Lê Thị Trúc Linh</v>
          </cell>
          <cell r="D7">
            <v>5.5</v>
          </cell>
        </row>
        <row r="8">
          <cell r="B8" t="str">
            <v>B1605235</v>
          </cell>
          <cell r="C8" t="str">
            <v>Phạm Thị Huỳnh</v>
          </cell>
          <cell r="D8">
            <v>7.5</v>
          </cell>
        </row>
        <row r="9">
          <cell r="B9" t="str">
            <v>B1605249</v>
          </cell>
          <cell r="C9" t="str">
            <v>Lê Minh Thông</v>
          </cell>
          <cell r="D9">
            <v>5.3</v>
          </cell>
        </row>
        <row r="10">
          <cell r="B10" t="str">
            <v>B1605285</v>
          </cell>
          <cell r="C10" t="str">
            <v>Huỳnh Thị Diễm</v>
          </cell>
          <cell r="D10">
            <v>6.8</v>
          </cell>
        </row>
        <row r="11">
          <cell r="B11" t="str">
            <v>B1605291</v>
          </cell>
          <cell r="C11" t="str">
            <v>Trần Thanh Nguyên</v>
          </cell>
          <cell r="D11">
            <v>6.3</v>
          </cell>
        </row>
        <row r="12">
          <cell r="B12" t="str">
            <v>B1605344</v>
          </cell>
          <cell r="C12" t="str">
            <v>Nguyễn Thị Đào</v>
          </cell>
          <cell r="D12">
            <v>8.3000000000000007</v>
          </cell>
        </row>
        <row r="13">
          <cell r="B13" t="str">
            <v>B1607025</v>
          </cell>
          <cell r="C13" t="str">
            <v>Nguyễn Chí Thanh</v>
          </cell>
          <cell r="D13">
            <v>-3</v>
          </cell>
        </row>
        <row r="14">
          <cell r="B14" t="str">
            <v>B1609759</v>
          </cell>
          <cell r="C14" t="str">
            <v>Nguyễn Hải Anh</v>
          </cell>
          <cell r="D14">
            <v>7</v>
          </cell>
        </row>
        <row r="15">
          <cell r="B15" t="str">
            <v>B1609765</v>
          </cell>
          <cell r="C15" t="str">
            <v>Trần Nam Dương</v>
          </cell>
          <cell r="D15">
            <v>-3</v>
          </cell>
        </row>
        <row r="16">
          <cell r="B16" t="str">
            <v>B1609773</v>
          </cell>
          <cell r="C16" t="str">
            <v>Nguyễn Duy Khanh</v>
          </cell>
          <cell r="D16">
            <v>6.5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A3ED-8BD5-4D54-AE87-08B3E06F06E5}">
  <dimension ref="A1:K20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8" sqref="D8"/>
    </sheetView>
  </sheetViews>
  <sheetFormatPr defaultRowHeight="14.4" x14ac:dyDescent="0.3"/>
  <cols>
    <col min="1" max="1" width="4.88671875" customWidth="1"/>
    <col min="2" max="2" width="12.6640625" customWidth="1"/>
    <col min="3" max="3" width="17.88671875" customWidth="1"/>
    <col min="4" max="11" width="5.6640625" customWidth="1"/>
  </cols>
  <sheetData>
    <row r="1" spans="1:11" x14ac:dyDescent="0.3">
      <c r="A1" s="1"/>
      <c r="B1" s="33" t="s">
        <v>0</v>
      </c>
      <c r="C1" s="33"/>
      <c r="D1" s="33"/>
      <c r="E1" s="33"/>
      <c r="F1" s="33"/>
      <c r="G1" s="33"/>
      <c r="H1" s="33"/>
      <c r="I1" s="2"/>
      <c r="J1" s="2"/>
      <c r="K1" s="2"/>
    </row>
    <row r="2" spans="1:11" x14ac:dyDescent="0.3">
      <c r="A2" s="1"/>
      <c r="B2" s="1" t="s">
        <v>1</v>
      </c>
      <c r="C2" s="3">
        <v>1043</v>
      </c>
      <c r="D2" s="34" t="s">
        <v>2</v>
      </c>
      <c r="E2" s="34"/>
      <c r="F2" s="35" t="s">
        <v>3</v>
      </c>
      <c r="G2" s="35"/>
      <c r="H2" s="35"/>
      <c r="I2" s="35"/>
      <c r="J2" s="1"/>
      <c r="K2" s="1"/>
    </row>
    <row r="3" spans="1:11" x14ac:dyDescent="0.3">
      <c r="A3" s="1"/>
      <c r="B3" s="1" t="s">
        <v>4</v>
      </c>
      <c r="C3" s="1" t="s">
        <v>5</v>
      </c>
      <c r="D3" s="34" t="s">
        <v>6</v>
      </c>
      <c r="E3" s="34"/>
      <c r="F3" s="34">
        <v>8</v>
      </c>
      <c r="G3" s="34"/>
      <c r="H3" s="34"/>
      <c r="I3" s="1"/>
      <c r="J3" s="1"/>
      <c r="K3" s="1"/>
    </row>
    <row r="4" spans="1:11" x14ac:dyDescent="0.3">
      <c r="A4" s="1"/>
      <c r="B4" s="1" t="s">
        <v>7</v>
      </c>
      <c r="C4" s="1" t="s">
        <v>8</v>
      </c>
      <c r="D4" s="34" t="s">
        <v>9</v>
      </c>
      <c r="E4" s="34"/>
      <c r="F4" s="34">
        <v>1</v>
      </c>
      <c r="G4" s="34"/>
      <c r="H4" s="34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s="9" customFormat="1" ht="82.8" x14ac:dyDescent="0.3">
      <c r="A6" s="7" t="s">
        <v>10</v>
      </c>
      <c r="B6" s="8" t="s">
        <v>11</v>
      </c>
      <c r="C6" s="8" t="s">
        <v>12</v>
      </c>
      <c r="D6" s="8" t="s">
        <v>32</v>
      </c>
      <c r="E6" s="8" t="s">
        <v>33</v>
      </c>
      <c r="F6" s="8" t="s">
        <v>34</v>
      </c>
      <c r="G6" s="8" t="s">
        <v>13</v>
      </c>
      <c r="H6" s="8" t="s">
        <v>14</v>
      </c>
      <c r="I6" s="8" t="s">
        <v>15</v>
      </c>
      <c r="J6" s="8" t="s">
        <v>16</v>
      </c>
      <c r="K6" s="8" t="s">
        <v>17</v>
      </c>
    </row>
    <row r="7" spans="1:11" ht="15" customHeight="1" x14ac:dyDescent="0.3">
      <c r="A7" s="4">
        <v>1</v>
      </c>
      <c r="B7" s="4" t="s">
        <v>18</v>
      </c>
      <c r="C7" s="1" t="str">
        <f>VLOOKUP(RIGHT(B7, 8), [1]Sheet1!$B$14:$C$27, 2, 0)</f>
        <v>Nguyễn Văn Hiếu</v>
      </c>
      <c r="D7" s="1">
        <f>VLOOKUP(RIGHT(B7, 8),'[2]Điểm thực hành các buổi'!$B$3:$F$16, 3, 0)</f>
        <v>0.45</v>
      </c>
      <c r="E7" s="1">
        <f>VLOOKUP(RIGHT(B7, 8), '[2]Điểm thực hành các buổi'!$B$3:$F$16, 4, 0)</f>
        <v>0.25</v>
      </c>
      <c r="F7" s="1">
        <f>VLOOKUP(RIGHT(B7, 8), '[2]Điểm thực hành các buổi'!$B$3:$F$16, 5, 0)</f>
        <v>0.3</v>
      </c>
      <c r="G7" s="1">
        <f>VLOOKUP(RIGHT(B7, 8), '[3]Điểm thực hành các buổi'!$B$3:$D$16, 3, 0)</f>
        <v>0.5</v>
      </c>
      <c r="H7" s="1">
        <f>VLOOKUP(RIGHT(B7, 8), '[4]Điểm thực hành các buổi'!$B$3:$D$16, 3, 0)</f>
        <v>4.2</v>
      </c>
      <c r="I7" s="1" cm="1">
        <f t="array" ref="I7:I20">ROUND(IF(H7:H20=-3, 0, D7:D20 + E7:E20 + F7:F20 + G7:G20 + 0.6*H7:H20), 1)</f>
        <v>4</v>
      </c>
      <c r="J7" s="5" cm="1">
        <f t="array" ref="J7:J20">ROUND(IF((G7:G20=0) + (VALUE(LEFT(B7:B20, 1))&gt;2), 0, I7:I20 + VLOOKUP(VALUE(LEFT(B7:B20, 1)), [1]Sheet1!$E$3:$F$5, 2, 0)), 1)</f>
        <v>5</v>
      </c>
      <c r="K7" s="6" t="str" cm="1">
        <f t="array" ref="K7:K20">VLOOKUP(_xlfn.ANCHORARRAY(J7), [1]Sheet1!$A$3:$B$10, 2, 1)</f>
        <v>D+</v>
      </c>
    </row>
    <row r="8" spans="1:11" ht="15" customHeight="1" x14ac:dyDescent="0.3">
      <c r="A8" s="4">
        <v>2</v>
      </c>
      <c r="B8" s="4" t="s">
        <v>19</v>
      </c>
      <c r="C8" s="1" t="str">
        <f>VLOOKUP(RIGHT(B8, 8), [1]Sheet1!$B$14:$C$27, 2, 0)</f>
        <v>Lý Minh Trí</v>
      </c>
      <c r="D8" s="1">
        <f>VLOOKUP(RIGHT(B8, 8), '[2]Điểm thực hành các buổi'!$B$3:$F$16, 3, 0)</f>
        <v>0.5</v>
      </c>
      <c r="E8" s="1">
        <f>VLOOKUP(RIGHT(B8, 8), '[2]Điểm thực hành các buổi'!$B$3:$F$16, 4, 0)</f>
        <v>0.35</v>
      </c>
      <c r="F8" s="1">
        <f>VLOOKUP(RIGHT(B8, 8), '[2]Điểm thực hành các buổi'!$B$3:$F$16, 5, 0)</f>
        <v>0.4</v>
      </c>
      <c r="G8" s="1">
        <f>VLOOKUP(RIGHT(B8, 8), '[3]Điểm thực hành các buổi'!$B$3:$D$16, 3, 0)</f>
        <v>1</v>
      </c>
      <c r="H8" s="1">
        <f>VLOOKUP(RIGHT(B8, 8), '[4]Điểm thực hành các buổi'!$B$3:$D$16, 3, 0)</f>
        <v>5.8</v>
      </c>
      <c r="I8" s="1">
        <v>5.7</v>
      </c>
      <c r="J8" s="6">
        <v>6.2</v>
      </c>
      <c r="K8" s="6" t="str">
        <v>C</v>
      </c>
    </row>
    <row r="9" spans="1:11" x14ac:dyDescent="0.3">
      <c r="A9" s="4">
        <v>3</v>
      </c>
      <c r="B9" s="4" t="s">
        <v>20</v>
      </c>
      <c r="C9" s="1" t="str">
        <f>VLOOKUP(RIGHT(B9, 8), [1]Sheet1!$B$14:$C$27, 2, 0)</f>
        <v>Nguyễn Kiều My</v>
      </c>
      <c r="D9" s="1">
        <f>VLOOKUP(RIGHT(B9, 8), '[2]Điểm thực hành các buổi'!$B$3:$F$16, 3, 0)</f>
        <v>0.25</v>
      </c>
      <c r="E9" s="1">
        <f>VLOOKUP(RIGHT(B9, 8), '[2]Điểm thực hành các buổi'!$B$3:$F$16, 4, 0)</f>
        <v>0.25</v>
      </c>
      <c r="F9" s="1">
        <f>VLOOKUP(RIGHT(B9, 8), '[2]Điểm thực hành các buổi'!$B$3:$F$16, 5, 0)</f>
        <v>0.3</v>
      </c>
      <c r="G9" s="1">
        <f>VLOOKUP(RIGHT(B9, 8), '[3]Điểm thực hành các buổi'!$B$3:$D$16, 3, 0)</f>
        <v>0.5</v>
      </c>
      <c r="H9" s="1">
        <f>VLOOKUP(RIGHT(B9, 8), '[4]Điểm thực hành các buổi'!$B$3:$D$16, 3, 0)</f>
        <v>5.8</v>
      </c>
      <c r="I9" s="1">
        <v>4.8</v>
      </c>
      <c r="J9" s="6">
        <v>5.8</v>
      </c>
      <c r="K9" s="6" t="str">
        <v>C</v>
      </c>
    </row>
    <row r="10" spans="1:11" x14ac:dyDescent="0.3">
      <c r="A10" s="4">
        <v>4</v>
      </c>
      <c r="B10" s="4" t="s">
        <v>21</v>
      </c>
      <c r="C10" s="1" t="str">
        <f>VLOOKUP(RIGHT(B10, 8), [1]Sheet1!$B$14:$C$27, 2, 0)</f>
        <v>Đặng Duy Linh</v>
      </c>
      <c r="D10" s="1">
        <f>VLOOKUP(RIGHT(B10, 8), '[2]Điểm thực hành các buổi'!$B$3:$F$16, 3, 0)</f>
        <v>0.4</v>
      </c>
      <c r="E10" s="1">
        <f>VLOOKUP(RIGHT(B10, 8), '[2]Điểm thực hành các buổi'!$B$3:$F$16, 4, 0)</f>
        <v>0.25</v>
      </c>
      <c r="F10" s="1">
        <f>VLOOKUP(RIGHT(B10, 8), '[2]Điểm thực hành các buổi'!$B$3:$F$16, 5, 0)</f>
        <v>0.35</v>
      </c>
      <c r="G10" s="1">
        <f>VLOOKUP(RIGHT(B10, 8), '[3]Điểm thực hành các buổi'!$B$3:$D$16, 3, 0)</f>
        <v>1</v>
      </c>
      <c r="H10" s="1">
        <f>VLOOKUP(RIGHT(B10, 8), '[4]Điểm thực hành các buổi'!$B$3:$D$16, 3, 0)</f>
        <v>4.5</v>
      </c>
      <c r="I10" s="1">
        <v>4.7</v>
      </c>
      <c r="J10" s="6">
        <v>5.7</v>
      </c>
      <c r="K10" s="6" t="str">
        <v>C</v>
      </c>
    </row>
    <row r="11" spans="1:11" x14ac:dyDescent="0.3">
      <c r="A11" s="4">
        <v>5</v>
      </c>
      <c r="B11" s="4" t="s">
        <v>22</v>
      </c>
      <c r="C11" s="1" t="str">
        <f>VLOOKUP(RIGHT(B11, 8), [1]Sheet1!$B$14:$C$27, 2, 0)</f>
        <v>Lê Thị Trúc Linh</v>
      </c>
      <c r="D11" s="1">
        <f>VLOOKUP(RIGHT(B11, 8), '[2]Điểm thực hành các buổi'!$B$3:$F$16, 3, 0)</f>
        <v>0.45</v>
      </c>
      <c r="E11" s="1">
        <f>VLOOKUP(RIGHT(B11, 8), '[2]Điểm thực hành các buổi'!$B$3:$F$16, 4, 0)</f>
        <v>0.4</v>
      </c>
      <c r="F11" s="1">
        <f>VLOOKUP(RIGHT(B11, 8), '[2]Điểm thực hành các buổi'!$B$3:$F$16, 5, 0)</f>
        <v>0.35</v>
      </c>
      <c r="G11" s="1">
        <f>VLOOKUP(RIGHT(B11, 8), '[3]Điểm thực hành các buổi'!$B$3:$D$16, 3, 0)</f>
        <v>0.75</v>
      </c>
      <c r="H11" s="1">
        <f>VLOOKUP(RIGHT(B11, 8), '[4]Điểm thực hành các buổi'!$B$3:$D$16, 3, 0)</f>
        <v>5.5</v>
      </c>
      <c r="I11" s="1">
        <v>5.3</v>
      </c>
      <c r="J11" s="6">
        <v>5.6</v>
      </c>
      <c r="K11" s="6" t="str">
        <v>C</v>
      </c>
    </row>
    <row r="12" spans="1:11" x14ac:dyDescent="0.3">
      <c r="A12" s="4">
        <v>6</v>
      </c>
      <c r="B12" s="4" t="s">
        <v>23</v>
      </c>
      <c r="C12" s="1" t="str">
        <f>VLOOKUP(RIGHT(B12, 8), [1]Sheet1!$B$14:$C$27, 2, 0)</f>
        <v>Phạm Thị Huỳnh</v>
      </c>
      <c r="D12" s="1">
        <f>VLOOKUP(RIGHT(B12, 8), '[2]Điểm thực hành các buổi'!$B$3:$F$16, 3, 0)</f>
        <v>0.4</v>
      </c>
      <c r="E12" s="1">
        <f>VLOOKUP(RIGHT(B12, 8), '[2]Điểm thực hành các buổi'!$B$3:$F$16, 4, 0)</f>
        <v>0.45</v>
      </c>
      <c r="F12" s="1">
        <f>VLOOKUP(RIGHT(B12, 8), '[2]Điểm thực hành các buổi'!$B$3:$F$16, 5, 0)</f>
        <v>0.5</v>
      </c>
      <c r="G12" s="1">
        <f>VLOOKUP(RIGHT(B12, 8), '[3]Điểm thực hành các buổi'!$B$3:$D$16, 3, 0)</f>
        <v>1.2</v>
      </c>
      <c r="H12" s="1">
        <f>VLOOKUP(RIGHT(B12, 8), '[4]Điểm thực hành các buổi'!$B$3:$D$16, 3, 0)</f>
        <v>7.5</v>
      </c>
      <c r="I12" s="1">
        <v>7.1</v>
      </c>
      <c r="J12" s="6">
        <v>8.1</v>
      </c>
      <c r="K12" s="6" t="str">
        <v>B+</v>
      </c>
    </row>
    <row r="13" spans="1:11" x14ac:dyDescent="0.3">
      <c r="A13" s="4">
        <v>7</v>
      </c>
      <c r="B13" s="4" t="s">
        <v>24</v>
      </c>
      <c r="C13" s="1" t="str">
        <f>VLOOKUP(RIGHT(B13, 8), [1]Sheet1!$B$14:$C$27, 2, 0)</f>
        <v>Lê Minh Thông</v>
      </c>
      <c r="D13" s="1">
        <f>VLOOKUP(RIGHT(B13, 8), '[2]Điểm thực hành các buổi'!$B$3:$F$16, 3, 0)</f>
        <v>0.4</v>
      </c>
      <c r="E13" s="1">
        <f>VLOOKUP(RIGHT(B13, 8), '[2]Điểm thực hành các buổi'!$B$3:$F$16, 4, 0)</f>
        <v>0.4</v>
      </c>
      <c r="F13" s="1">
        <f>VLOOKUP(RIGHT(B13, 8), '[2]Điểm thực hành các buổi'!$B$3:$F$16, 5, 0)</f>
        <v>0.4</v>
      </c>
      <c r="G13" s="1">
        <f>VLOOKUP(RIGHT(B13, 8), '[3]Điểm thực hành các buổi'!$B$3:$D$16, 3, 0)</f>
        <v>1</v>
      </c>
      <c r="H13" s="1">
        <f>VLOOKUP(RIGHT(B13, 8), '[4]Điểm thực hành các buổi'!$B$3:$D$16, 3, 0)</f>
        <v>5.3</v>
      </c>
      <c r="I13" s="1">
        <v>5.4</v>
      </c>
      <c r="J13" s="6">
        <v>6.4</v>
      </c>
      <c r="K13" s="6" t="str">
        <v>C</v>
      </c>
    </row>
    <row r="14" spans="1:11" x14ac:dyDescent="0.3">
      <c r="A14" s="4">
        <v>8</v>
      </c>
      <c r="B14" s="4" t="s">
        <v>25</v>
      </c>
      <c r="C14" s="1" t="str">
        <f>VLOOKUP(RIGHT(B14, 8), [1]Sheet1!$B$14:$C$27, 2, 0)</f>
        <v>Huỳnh Thị Diễm</v>
      </c>
      <c r="D14" s="1">
        <f>VLOOKUP(RIGHT(B14, 8), '[2]Điểm thực hành các buổi'!$B$3:$F$16, 3, 0)</f>
        <v>0.45</v>
      </c>
      <c r="E14" s="1">
        <f>VLOOKUP(RIGHT(B14, 8), '[2]Điểm thực hành các buổi'!$B$3:$F$16, 4, 0)</f>
        <v>0.4</v>
      </c>
      <c r="F14" s="1">
        <f>VLOOKUP(RIGHT(B14, 8), '[2]Điểm thực hành các buổi'!$B$3:$F$16, 5, 0)</f>
        <v>0.45</v>
      </c>
      <c r="G14" s="1">
        <f>VLOOKUP(RIGHT(B14, 8), '[3]Điểm thực hành các buổi'!$B$3:$D$16, 3, 0)</f>
        <v>0</v>
      </c>
      <c r="H14" s="1">
        <f>VLOOKUP(RIGHT(B14, 8), '[4]Điểm thực hành các buổi'!$B$3:$D$16, 3, 0)</f>
        <v>6.8</v>
      </c>
      <c r="I14" s="1">
        <v>5.4</v>
      </c>
      <c r="J14" s="6">
        <v>0</v>
      </c>
      <c r="K14" s="6" t="str">
        <v>F</v>
      </c>
    </row>
    <row r="15" spans="1:11" x14ac:dyDescent="0.3">
      <c r="A15" s="4">
        <v>9</v>
      </c>
      <c r="B15" s="4" t="s">
        <v>26</v>
      </c>
      <c r="C15" s="1" t="str">
        <f>VLOOKUP(RIGHT(B15, 8), [1]Sheet1!$B$14:$C$27, 2, 0)</f>
        <v>Trần Thanh Nguyên</v>
      </c>
      <c r="D15" s="1">
        <f>VLOOKUP(RIGHT(B15, 8), '[2]Điểm thực hành các buổi'!$B$3:$F$16, 3, 0)</f>
        <v>0.45</v>
      </c>
      <c r="E15" s="1">
        <f>VLOOKUP(RIGHT(B15, 8), '[2]Điểm thực hành các buổi'!$B$3:$F$16, 4, 0)</f>
        <v>0.4</v>
      </c>
      <c r="F15" s="1">
        <f>VLOOKUP(RIGHT(B15, 8), '[2]Điểm thực hành các buổi'!$B$3:$F$16, 5, 0)</f>
        <v>0.4</v>
      </c>
      <c r="G15" s="1">
        <f>VLOOKUP(RIGHT(B15, 8), '[3]Điểm thực hành các buổi'!$B$3:$D$16, 3, 0)</f>
        <v>0.75</v>
      </c>
      <c r="H15" s="1">
        <f>VLOOKUP(RIGHT(B15, 8), '[4]Điểm thực hành các buổi'!$B$3:$D$16, 3, 0)</f>
        <v>6.3</v>
      </c>
      <c r="I15" s="1">
        <v>5.8</v>
      </c>
      <c r="J15" s="6">
        <v>6.8</v>
      </c>
      <c r="K15" s="6" t="str">
        <v>C+</v>
      </c>
    </row>
    <row r="16" spans="1:11" x14ac:dyDescent="0.3">
      <c r="A16" s="4">
        <v>10</v>
      </c>
      <c r="B16" s="4" t="s">
        <v>27</v>
      </c>
      <c r="C16" s="1" t="str">
        <f>VLOOKUP(RIGHT(B16, 8), [1]Sheet1!$B$14:$C$27, 2, 0)</f>
        <v>Nguyễn Thị Đào</v>
      </c>
      <c r="D16" s="1">
        <f>VLOOKUP(RIGHT(B16, 8), '[2]Điểm thực hành các buổi'!$B$3:$F$16, 3, 0)</f>
        <v>0.3</v>
      </c>
      <c r="E16" s="1">
        <f>VLOOKUP(RIGHT(B16, 8), '[2]Điểm thực hành các buổi'!$B$3:$F$16, 4, 0)</f>
        <v>0.5</v>
      </c>
      <c r="F16" s="1">
        <f>VLOOKUP(RIGHT(B16, 8), '[2]Điểm thực hành các buổi'!$B$3:$F$16, 5, 0)</f>
        <v>0.45</v>
      </c>
      <c r="G16" s="1">
        <f>VLOOKUP(RIGHT(B16, 8), '[3]Điểm thực hành các buổi'!$B$3:$D$16, 3, 0)</f>
        <v>0.3</v>
      </c>
      <c r="H16" s="1">
        <f>VLOOKUP(RIGHT(B16, 8), '[4]Điểm thực hành các buổi'!$B$3:$D$16, 3, 0)</f>
        <v>8.3000000000000007</v>
      </c>
      <c r="I16" s="1">
        <v>6.5</v>
      </c>
      <c r="J16" s="6">
        <v>7</v>
      </c>
      <c r="K16" s="6" t="str">
        <v>B</v>
      </c>
    </row>
    <row r="17" spans="1:11" x14ac:dyDescent="0.3">
      <c r="A17" s="4">
        <v>11</v>
      </c>
      <c r="B17" s="4" t="s">
        <v>28</v>
      </c>
      <c r="C17" s="1" t="str">
        <f>VLOOKUP(RIGHT(B17, 8), [1]Sheet1!$B$14:$C$27, 2, 0)</f>
        <v>Nguyễn Chí Thanh</v>
      </c>
      <c r="D17" s="1">
        <f>VLOOKUP(RIGHT(B17, 8), '[2]Điểm thực hành các buổi'!$B$3:$F$16, 3, 0)</f>
        <v>0.4</v>
      </c>
      <c r="E17" s="1">
        <f>VLOOKUP(RIGHT(B17, 8), '[2]Điểm thực hành các buổi'!$B$3:$F$16, 4, 0)</f>
        <v>0.45</v>
      </c>
      <c r="F17" s="1">
        <f>VLOOKUP(RIGHT(B17, 8), '[2]Điểm thực hành các buổi'!$B$3:$F$16, 5, 0)</f>
        <v>0.4</v>
      </c>
      <c r="G17" s="1">
        <f>VLOOKUP(RIGHT(B17, 8), '[3]Điểm thực hành các buổi'!$B$3:$D$16, 3, 0)</f>
        <v>0.3</v>
      </c>
      <c r="H17" s="1">
        <f>VLOOKUP(RIGHT(B17, 8), '[4]Điểm thực hành các buổi'!$B$3:$D$16, 3, 0)</f>
        <v>-3</v>
      </c>
      <c r="I17" s="1">
        <v>0</v>
      </c>
      <c r="J17" s="6">
        <v>0</v>
      </c>
      <c r="K17" s="6" t="str">
        <v>F</v>
      </c>
    </row>
    <row r="18" spans="1:11" x14ac:dyDescent="0.3">
      <c r="A18" s="4">
        <v>12</v>
      </c>
      <c r="B18" s="4" t="s">
        <v>29</v>
      </c>
      <c r="C18" s="1" t="str">
        <f>VLOOKUP(RIGHT(B18, 8), [1]Sheet1!$B$14:$C$27, 2, 0)</f>
        <v>Nguyễn Hải Anh</v>
      </c>
      <c r="D18" s="1">
        <f>VLOOKUP(RIGHT(B18, 8), '[2]Điểm thực hành các buổi'!$B$3:$F$16, 3, 0)</f>
        <v>0.5</v>
      </c>
      <c r="E18" s="1">
        <f>VLOOKUP(RIGHT(B18, 8), '[2]Điểm thực hành các buổi'!$B$3:$F$16, 4, 0)</f>
        <v>0.5</v>
      </c>
      <c r="F18" s="1">
        <f>VLOOKUP(RIGHT(B18, 8), '[2]Điểm thực hành các buổi'!$B$3:$F$16, 5, 0)</f>
        <v>0.45</v>
      </c>
      <c r="G18" s="1">
        <f>VLOOKUP(RIGHT(B18, 8), '[3]Điểm thực hành các buổi'!$B$3:$D$16, 3, 0)</f>
        <v>1.5</v>
      </c>
      <c r="H18" s="1">
        <f>VLOOKUP(RIGHT(B18, 8), '[4]Điểm thực hành các buổi'!$B$3:$D$16, 3, 0)</f>
        <v>7</v>
      </c>
      <c r="I18" s="1">
        <v>7.2</v>
      </c>
      <c r="J18" s="6">
        <v>7.5</v>
      </c>
      <c r="K18" s="6" t="str">
        <v>B</v>
      </c>
    </row>
    <row r="19" spans="1:11" x14ac:dyDescent="0.3">
      <c r="A19" s="4">
        <v>13</v>
      </c>
      <c r="B19" s="4" t="s">
        <v>30</v>
      </c>
      <c r="C19" s="1" t="str">
        <f>VLOOKUP(RIGHT(B19, 8), [1]Sheet1!$B$14:$C$27, 2, 0)</f>
        <v>Trần Nam Dương</v>
      </c>
      <c r="D19" s="1">
        <f>VLOOKUP(RIGHT(B19, 8), '[2]Điểm thực hành các buổi'!$B$3:$F$16, 3, 0)</f>
        <v>0.4</v>
      </c>
      <c r="E19" s="1">
        <f>VLOOKUP(RIGHT(B19, 8), '[2]Điểm thực hành các buổi'!$B$3:$F$16, 4, 0)</f>
        <v>0.4</v>
      </c>
      <c r="F19" s="1">
        <f>VLOOKUP(RIGHT(B19, 8), '[2]Điểm thực hành các buổi'!$B$3:$F$16, 5, 0)</f>
        <v>0.35</v>
      </c>
      <c r="G19" s="1">
        <f>VLOOKUP(RIGHT(B19, 8), '[3]Điểm thực hành các buổi'!$B$3:$D$16, 3, 0)</f>
        <v>1.35</v>
      </c>
      <c r="H19" s="1">
        <f>VLOOKUP(RIGHT(B19, 8), '[4]Điểm thực hành các buổi'!$B$3:$D$16, 3, 0)</f>
        <v>-3</v>
      </c>
      <c r="I19" s="1">
        <v>0</v>
      </c>
      <c r="J19" s="6">
        <v>0</v>
      </c>
      <c r="K19" s="6" t="str">
        <v>F</v>
      </c>
    </row>
    <row r="20" spans="1:11" x14ac:dyDescent="0.3">
      <c r="A20" s="4">
        <v>14</v>
      </c>
      <c r="B20" s="4" t="s">
        <v>31</v>
      </c>
      <c r="C20" s="1" t="str">
        <f>VLOOKUP(RIGHT(B20, 8), [1]Sheet1!$B$14:$C$27, 2, 0)</f>
        <v>Nguyễn Duy Khanh</v>
      </c>
      <c r="D20" s="1">
        <f>VLOOKUP(RIGHT(B20, 8), '[2]Điểm thực hành các buổi'!$B$3:$F$16, 3, 0)</f>
        <v>0.35</v>
      </c>
      <c r="E20" s="1">
        <f>VLOOKUP(RIGHT(B20, 8), '[2]Điểm thực hành các buổi'!$B$3:$F$16, 4, 0)</f>
        <v>0.4</v>
      </c>
      <c r="F20" s="1">
        <f>VLOOKUP(RIGHT(B20, 8), '[2]Điểm thực hành các buổi'!$B$3:$F$16, 5, 0)</f>
        <v>0</v>
      </c>
      <c r="G20" s="1">
        <f>VLOOKUP(RIGHT(B20, 8), '[3]Điểm thực hành các buổi'!$B$3:$D$16, 3, 0)</f>
        <v>0.85</v>
      </c>
      <c r="H20" s="1">
        <f>VLOOKUP(RIGHT(B20, 8), '[4]Điểm thực hành các buổi'!$B$3:$D$16, 3, 0)</f>
        <v>6.5</v>
      </c>
      <c r="I20" s="1">
        <v>5.5</v>
      </c>
      <c r="J20" s="6">
        <v>6.5</v>
      </c>
      <c r="K20" s="6" t="str">
        <v>C+</v>
      </c>
    </row>
  </sheetData>
  <mergeCells count="7">
    <mergeCell ref="B1:H1"/>
    <mergeCell ref="D3:E3"/>
    <mergeCell ref="D4:E4"/>
    <mergeCell ref="D2:E2"/>
    <mergeCell ref="F2:I2"/>
    <mergeCell ref="F3:H3"/>
    <mergeCell ref="F4:H4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2D47-4BE3-4DE1-93C7-EF5AF8CD034C}">
  <dimension ref="A1:F16"/>
  <sheetViews>
    <sheetView workbookViewId="0">
      <selection sqref="A1:F16"/>
    </sheetView>
  </sheetViews>
  <sheetFormatPr defaultRowHeight="14.4" x14ac:dyDescent="0.3"/>
  <cols>
    <col min="1" max="1" width="4.5546875" bestFit="1" customWidth="1"/>
    <col min="2" max="2" width="9.33203125" bestFit="1" customWidth="1"/>
    <col min="3" max="3" width="17.6640625" bestFit="1" customWidth="1"/>
    <col min="4" max="6" width="10.44140625" bestFit="1" customWidth="1"/>
  </cols>
  <sheetData>
    <row r="1" spans="1:6" x14ac:dyDescent="0.3">
      <c r="A1" s="36" t="s">
        <v>35</v>
      </c>
      <c r="B1" s="36"/>
      <c r="C1" s="36"/>
      <c r="D1" s="36"/>
      <c r="E1" s="36"/>
      <c r="F1" s="36"/>
    </row>
    <row r="2" spans="1:6" x14ac:dyDescent="0.3">
      <c r="A2" s="11" t="s">
        <v>36</v>
      </c>
      <c r="B2" s="11" t="s">
        <v>11</v>
      </c>
      <c r="C2" s="11" t="s">
        <v>37</v>
      </c>
      <c r="D2" s="11" t="s">
        <v>32</v>
      </c>
      <c r="E2" s="11" t="s">
        <v>33</v>
      </c>
      <c r="F2" s="11" t="s">
        <v>34</v>
      </c>
    </row>
    <row r="3" spans="1:6" x14ac:dyDescent="0.3">
      <c r="A3" s="4">
        <v>1</v>
      </c>
      <c r="B3" s="4" t="s">
        <v>38</v>
      </c>
      <c r="C3" s="1" t="s">
        <v>39</v>
      </c>
      <c r="D3" s="4">
        <v>0.45</v>
      </c>
      <c r="E3" s="4">
        <v>0.25</v>
      </c>
      <c r="F3" s="4">
        <v>0.3</v>
      </c>
    </row>
    <row r="4" spans="1:6" x14ac:dyDescent="0.3">
      <c r="A4" s="4">
        <v>2</v>
      </c>
      <c r="B4" s="4" t="s">
        <v>40</v>
      </c>
      <c r="C4" s="1" t="s">
        <v>41</v>
      </c>
      <c r="D4" s="4">
        <v>0.5</v>
      </c>
      <c r="E4" s="4">
        <v>0.35</v>
      </c>
      <c r="F4" s="4">
        <v>0.4</v>
      </c>
    </row>
    <row r="5" spans="1:6" x14ac:dyDescent="0.3">
      <c r="A5" s="4">
        <v>3</v>
      </c>
      <c r="B5" s="4" t="s">
        <v>42</v>
      </c>
      <c r="C5" s="1" t="s">
        <v>43</v>
      </c>
      <c r="D5" s="4">
        <v>0.25</v>
      </c>
      <c r="E5" s="4">
        <v>0.25</v>
      </c>
      <c r="F5" s="4">
        <v>0.3</v>
      </c>
    </row>
    <row r="6" spans="1:6" x14ac:dyDescent="0.3">
      <c r="A6" s="4">
        <v>4</v>
      </c>
      <c r="B6" s="4" t="s">
        <v>44</v>
      </c>
      <c r="C6" s="1" t="s">
        <v>45</v>
      </c>
      <c r="D6" s="4">
        <v>0.4</v>
      </c>
      <c r="E6" s="4">
        <v>0.25</v>
      </c>
      <c r="F6" s="4">
        <v>0.35</v>
      </c>
    </row>
    <row r="7" spans="1:6" x14ac:dyDescent="0.3">
      <c r="A7" s="4">
        <v>5</v>
      </c>
      <c r="B7" s="4" t="s">
        <v>46</v>
      </c>
      <c r="C7" s="1" t="s">
        <v>47</v>
      </c>
      <c r="D7" s="4">
        <v>0.45</v>
      </c>
      <c r="E7" s="4">
        <v>0.4</v>
      </c>
      <c r="F7" s="4">
        <v>0.35</v>
      </c>
    </row>
    <row r="8" spans="1:6" x14ac:dyDescent="0.3">
      <c r="A8" s="4">
        <v>6</v>
      </c>
      <c r="B8" s="4" t="s">
        <v>48</v>
      </c>
      <c r="C8" s="1" t="s">
        <v>49</v>
      </c>
      <c r="D8" s="4">
        <v>0.4</v>
      </c>
      <c r="E8" s="4">
        <v>0.45</v>
      </c>
      <c r="F8" s="4">
        <v>0.5</v>
      </c>
    </row>
    <row r="9" spans="1:6" x14ac:dyDescent="0.3">
      <c r="A9" s="4">
        <v>7</v>
      </c>
      <c r="B9" s="4" t="s">
        <v>50</v>
      </c>
      <c r="C9" s="1" t="s">
        <v>51</v>
      </c>
      <c r="D9" s="4">
        <v>0.4</v>
      </c>
      <c r="E9" s="4">
        <v>0.4</v>
      </c>
      <c r="F9" s="4">
        <v>0.4</v>
      </c>
    </row>
    <row r="10" spans="1:6" x14ac:dyDescent="0.3">
      <c r="A10" s="4">
        <v>8</v>
      </c>
      <c r="B10" s="4" t="s">
        <v>52</v>
      </c>
      <c r="C10" s="1" t="s">
        <v>53</v>
      </c>
      <c r="D10" s="4">
        <v>0.45</v>
      </c>
      <c r="E10" s="4">
        <v>0.4</v>
      </c>
      <c r="F10" s="4">
        <v>0.45</v>
      </c>
    </row>
    <row r="11" spans="1:6" x14ac:dyDescent="0.3">
      <c r="A11" s="4">
        <v>9</v>
      </c>
      <c r="B11" s="4" t="s">
        <v>54</v>
      </c>
      <c r="C11" s="1" t="s">
        <v>55</v>
      </c>
      <c r="D11" s="4">
        <v>0.45</v>
      </c>
      <c r="E11" s="4">
        <v>0.4</v>
      </c>
      <c r="F11" s="4">
        <v>0.4</v>
      </c>
    </row>
    <row r="12" spans="1:6" x14ac:dyDescent="0.3">
      <c r="A12" s="4">
        <v>10</v>
      </c>
      <c r="B12" s="4" t="s">
        <v>56</v>
      </c>
      <c r="C12" s="1" t="s">
        <v>57</v>
      </c>
      <c r="D12" s="4">
        <v>0.3</v>
      </c>
      <c r="E12" s="4">
        <v>0.5</v>
      </c>
      <c r="F12" s="4">
        <v>0.45</v>
      </c>
    </row>
    <row r="13" spans="1:6" x14ac:dyDescent="0.3">
      <c r="A13" s="4">
        <v>11</v>
      </c>
      <c r="B13" s="4" t="s">
        <v>58</v>
      </c>
      <c r="C13" s="1" t="s">
        <v>59</v>
      </c>
      <c r="D13" s="4">
        <v>0.4</v>
      </c>
      <c r="E13" s="4">
        <v>0.45</v>
      </c>
      <c r="F13" s="4">
        <v>0.4</v>
      </c>
    </row>
    <row r="14" spans="1:6" x14ac:dyDescent="0.3">
      <c r="A14" s="4">
        <v>12</v>
      </c>
      <c r="B14" s="4" t="s">
        <v>60</v>
      </c>
      <c r="C14" s="1" t="s">
        <v>61</v>
      </c>
      <c r="D14" s="4">
        <v>0.5</v>
      </c>
      <c r="E14" s="4">
        <v>0.5</v>
      </c>
      <c r="F14" s="4">
        <v>0.45</v>
      </c>
    </row>
    <row r="15" spans="1:6" x14ac:dyDescent="0.3">
      <c r="A15" s="4">
        <v>13</v>
      </c>
      <c r="B15" s="4" t="s">
        <v>62</v>
      </c>
      <c r="C15" s="1" t="s">
        <v>63</v>
      </c>
      <c r="D15" s="4">
        <v>0.4</v>
      </c>
      <c r="E15" s="4">
        <v>0.4</v>
      </c>
      <c r="F15" s="4">
        <v>0.35</v>
      </c>
    </row>
    <row r="16" spans="1:6" x14ac:dyDescent="0.3">
      <c r="A16" s="4">
        <v>14</v>
      </c>
      <c r="B16" s="4" t="s">
        <v>64</v>
      </c>
      <c r="C16" s="1" t="s">
        <v>65</v>
      </c>
      <c r="D16" s="4">
        <v>0.35</v>
      </c>
      <c r="E16" s="4">
        <v>0.4</v>
      </c>
      <c r="F16" s="4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BBA5-EBB7-40D2-ACA7-D70FD48F09CC}">
  <dimension ref="A1:D16"/>
  <sheetViews>
    <sheetView workbookViewId="0">
      <selection sqref="A1:D1"/>
    </sheetView>
  </sheetViews>
  <sheetFormatPr defaultRowHeight="14.4" x14ac:dyDescent="0.3"/>
  <cols>
    <col min="1" max="1" width="4.5546875" bestFit="1" customWidth="1"/>
    <col min="2" max="2" width="9.33203125" bestFit="1" customWidth="1"/>
    <col min="3" max="3" width="17.6640625" bestFit="1" customWidth="1"/>
    <col min="4" max="4" width="12" bestFit="1" customWidth="1"/>
  </cols>
  <sheetData>
    <row r="1" spans="1:4" x14ac:dyDescent="0.3">
      <c r="A1" s="37" t="s">
        <v>35</v>
      </c>
      <c r="B1" s="38"/>
      <c r="C1" s="38"/>
      <c r="D1" s="39"/>
    </row>
    <row r="2" spans="1:4" x14ac:dyDescent="0.3">
      <c r="A2" s="11" t="s">
        <v>36</v>
      </c>
      <c r="B2" s="11" t="s">
        <v>11</v>
      </c>
      <c r="C2" s="11" t="s">
        <v>37</v>
      </c>
      <c r="D2" s="11" t="s">
        <v>13</v>
      </c>
    </row>
    <row r="3" spans="1:4" x14ac:dyDescent="0.3">
      <c r="A3" s="4">
        <v>1</v>
      </c>
      <c r="B3" s="4" t="s">
        <v>38</v>
      </c>
      <c r="C3" s="1" t="s">
        <v>39</v>
      </c>
      <c r="D3" s="4">
        <v>0.5</v>
      </c>
    </row>
    <row r="4" spans="1:4" x14ac:dyDescent="0.3">
      <c r="A4" s="4">
        <v>2</v>
      </c>
      <c r="B4" s="4" t="s">
        <v>40</v>
      </c>
      <c r="C4" s="1" t="s">
        <v>41</v>
      </c>
      <c r="D4" s="4">
        <v>1</v>
      </c>
    </row>
    <row r="5" spans="1:4" x14ac:dyDescent="0.3">
      <c r="A5" s="4">
        <v>3</v>
      </c>
      <c r="B5" s="4" t="s">
        <v>42</v>
      </c>
      <c r="C5" s="1" t="s">
        <v>43</v>
      </c>
      <c r="D5" s="4">
        <v>0.5</v>
      </c>
    </row>
    <row r="6" spans="1:4" x14ac:dyDescent="0.3">
      <c r="A6" s="4">
        <v>4</v>
      </c>
      <c r="B6" s="4" t="s">
        <v>44</v>
      </c>
      <c r="C6" s="1" t="s">
        <v>45</v>
      </c>
      <c r="D6" s="4">
        <v>1</v>
      </c>
    </row>
    <row r="7" spans="1:4" x14ac:dyDescent="0.3">
      <c r="A7" s="4">
        <v>5</v>
      </c>
      <c r="B7" s="4" t="s">
        <v>46</v>
      </c>
      <c r="C7" s="1" t="s">
        <v>47</v>
      </c>
      <c r="D7" s="4">
        <v>0.75</v>
      </c>
    </row>
    <row r="8" spans="1:4" x14ac:dyDescent="0.3">
      <c r="A8" s="4">
        <v>6</v>
      </c>
      <c r="B8" s="4" t="s">
        <v>48</v>
      </c>
      <c r="C8" s="1" t="s">
        <v>49</v>
      </c>
      <c r="D8" s="4">
        <v>1.2</v>
      </c>
    </row>
    <row r="9" spans="1:4" x14ac:dyDescent="0.3">
      <c r="A9" s="4">
        <v>7</v>
      </c>
      <c r="B9" s="4" t="s">
        <v>50</v>
      </c>
      <c r="C9" s="1" t="s">
        <v>51</v>
      </c>
      <c r="D9" s="4">
        <v>1</v>
      </c>
    </row>
    <row r="10" spans="1:4" x14ac:dyDescent="0.3">
      <c r="A10" s="4">
        <v>8</v>
      </c>
      <c r="B10" s="4" t="s">
        <v>52</v>
      </c>
      <c r="C10" s="1" t="s">
        <v>53</v>
      </c>
      <c r="D10" s="4">
        <v>0</v>
      </c>
    </row>
    <row r="11" spans="1:4" x14ac:dyDescent="0.3">
      <c r="A11" s="4">
        <v>9</v>
      </c>
      <c r="B11" s="4" t="s">
        <v>54</v>
      </c>
      <c r="C11" s="1" t="s">
        <v>55</v>
      </c>
      <c r="D11" s="4">
        <v>0.75</v>
      </c>
    </row>
    <row r="12" spans="1:4" x14ac:dyDescent="0.3">
      <c r="A12" s="4">
        <v>10</v>
      </c>
      <c r="B12" s="4" t="s">
        <v>56</v>
      </c>
      <c r="C12" s="1" t="s">
        <v>57</v>
      </c>
      <c r="D12" s="4">
        <v>0.3</v>
      </c>
    </row>
    <row r="13" spans="1:4" x14ac:dyDescent="0.3">
      <c r="A13" s="4">
        <v>11</v>
      </c>
      <c r="B13" s="4" t="s">
        <v>58</v>
      </c>
      <c r="C13" s="1" t="s">
        <v>59</v>
      </c>
      <c r="D13" s="4">
        <v>0.3</v>
      </c>
    </row>
    <row r="14" spans="1:4" x14ac:dyDescent="0.3">
      <c r="A14" s="4">
        <v>12</v>
      </c>
      <c r="B14" s="4" t="s">
        <v>60</v>
      </c>
      <c r="C14" s="1" t="s">
        <v>61</v>
      </c>
      <c r="D14" s="4">
        <v>1.5</v>
      </c>
    </row>
    <row r="15" spans="1:4" x14ac:dyDescent="0.3">
      <c r="A15" s="4">
        <v>13</v>
      </c>
      <c r="B15" s="4" t="s">
        <v>62</v>
      </c>
      <c r="C15" s="1" t="s">
        <v>63</v>
      </c>
      <c r="D15" s="4">
        <v>1.35</v>
      </c>
    </row>
    <row r="16" spans="1:4" x14ac:dyDescent="0.3">
      <c r="A16" s="4">
        <v>14</v>
      </c>
      <c r="B16" s="4" t="s">
        <v>64</v>
      </c>
      <c r="C16" s="1" t="s">
        <v>65</v>
      </c>
      <c r="D16" s="4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6C2A-72B5-406B-B003-F991C1DD4EA8}">
  <dimension ref="A1:D16"/>
  <sheetViews>
    <sheetView workbookViewId="0">
      <selection sqref="A1:D16"/>
    </sheetView>
  </sheetViews>
  <sheetFormatPr defaultRowHeight="14.4" x14ac:dyDescent="0.3"/>
  <cols>
    <col min="1" max="1" width="4.5546875" bestFit="1" customWidth="1"/>
    <col min="2" max="2" width="9.33203125" bestFit="1" customWidth="1"/>
    <col min="3" max="3" width="17.6640625" bestFit="1" customWidth="1"/>
    <col min="4" max="4" width="13.77734375" bestFit="1" customWidth="1"/>
  </cols>
  <sheetData>
    <row r="1" spans="1:4" x14ac:dyDescent="0.3">
      <c r="A1" s="40" t="s">
        <v>35</v>
      </c>
      <c r="B1" s="41"/>
      <c r="C1" s="41"/>
      <c r="D1" s="42"/>
    </row>
    <row r="2" spans="1:4" x14ac:dyDescent="0.3">
      <c r="A2" s="12" t="s">
        <v>36</v>
      </c>
      <c r="B2" s="12" t="s">
        <v>11</v>
      </c>
      <c r="C2" s="12" t="s">
        <v>37</v>
      </c>
      <c r="D2" s="12" t="s">
        <v>66</v>
      </c>
    </row>
    <row r="3" spans="1:4" x14ac:dyDescent="0.3">
      <c r="A3" s="4">
        <v>1</v>
      </c>
      <c r="B3" s="4" t="s">
        <v>38</v>
      </c>
      <c r="C3" s="1" t="s">
        <v>67</v>
      </c>
      <c r="D3" s="4">
        <v>4.2</v>
      </c>
    </row>
    <row r="4" spans="1:4" x14ac:dyDescent="0.3">
      <c r="A4" s="4">
        <v>2</v>
      </c>
      <c r="B4" s="4" t="s">
        <v>40</v>
      </c>
      <c r="C4" s="1" t="s">
        <v>41</v>
      </c>
      <c r="D4" s="4">
        <v>5.8</v>
      </c>
    </row>
    <row r="5" spans="1:4" x14ac:dyDescent="0.3">
      <c r="A5" s="4">
        <v>3</v>
      </c>
      <c r="B5" s="4" t="s">
        <v>42</v>
      </c>
      <c r="C5" s="1" t="s">
        <v>43</v>
      </c>
      <c r="D5" s="4">
        <v>5.8</v>
      </c>
    </row>
    <row r="6" spans="1:4" x14ac:dyDescent="0.3">
      <c r="A6" s="4">
        <v>4</v>
      </c>
      <c r="B6" s="4" t="s">
        <v>44</v>
      </c>
      <c r="C6" s="1" t="s">
        <v>45</v>
      </c>
      <c r="D6" s="4">
        <v>4.5</v>
      </c>
    </row>
    <row r="7" spans="1:4" x14ac:dyDescent="0.3">
      <c r="A7" s="4">
        <v>5</v>
      </c>
      <c r="B7" s="4" t="s">
        <v>46</v>
      </c>
      <c r="C7" s="1" t="s">
        <v>47</v>
      </c>
      <c r="D7" s="4">
        <v>5.5</v>
      </c>
    </row>
    <row r="8" spans="1:4" x14ac:dyDescent="0.3">
      <c r="A8" s="4">
        <v>6</v>
      </c>
      <c r="B8" s="4" t="s">
        <v>48</v>
      </c>
      <c r="C8" s="1" t="s">
        <v>49</v>
      </c>
      <c r="D8" s="4">
        <v>7.5</v>
      </c>
    </row>
    <row r="9" spans="1:4" x14ac:dyDescent="0.3">
      <c r="A9" s="4">
        <v>7</v>
      </c>
      <c r="B9" s="4" t="s">
        <v>50</v>
      </c>
      <c r="C9" s="1" t="s">
        <v>51</v>
      </c>
      <c r="D9" s="4">
        <v>5.3</v>
      </c>
    </row>
    <row r="10" spans="1:4" x14ac:dyDescent="0.3">
      <c r="A10" s="4">
        <v>8</v>
      </c>
      <c r="B10" s="4" t="s">
        <v>52</v>
      </c>
      <c r="C10" s="1" t="s">
        <v>53</v>
      </c>
      <c r="D10" s="4">
        <v>6.8</v>
      </c>
    </row>
    <row r="11" spans="1:4" x14ac:dyDescent="0.3">
      <c r="A11" s="4">
        <v>9</v>
      </c>
      <c r="B11" s="4" t="s">
        <v>54</v>
      </c>
      <c r="C11" s="1" t="s">
        <v>55</v>
      </c>
      <c r="D11" s="4">
        <v>6.3</v>
      </c>
    </row>
    <row r="12" spans="1:4" x14ac:dyDescent="0.3">
      <c r="A12" s="4">
        <v>10</v>
      </c>
      <c r="B12" s="4" t="s">
        <v>56</v>
      </c>
      <c r="C12" s="1" t="s">
        <v>57</v>
      </c>
      <c r="D12" s="4">
        <v>8.3000000000000007</v>
      </c>
    </row>
    <row r="13" spans="1:4" x14ac:dyDescent="0.3">
      <c r="A13" s="4">
        <v>11</v>
      </c>
      <c r="B13" s="4" t="s">
        <v>58</v>
      </c>
      <c r="C13" s="1" t="s">
        <v>59</v>
      </c>
      <c r="D13" s="4">
        <v>-3</v>
      </c>
    </row>
    <row r="14" spans="1:4" x14ac:dyDescent="0.3">
      <c r="A14" s="4">
        <v>12</v>
      </c>
      <c r="B14" s="4" t="s">
        <v>60</v>
      </c>
      <c r="C14" s="1" t="s">
        <v>61</v>
      </c>
      <c r="D14" s="4">
        <v>7</v>
      </c>
    </row>
    <row r="15" spans="1:4" x14ac:dyDescent="0.3">
      <c r="A15" s="4">
        <v>13</v>
      </c>
      <c r="B15" s="4" t="s">
        <v>62</v>
      </c>
      <c r="C15" s="1" t="s">
        <v>63</v>
      </c>
      <c r="D15" s="4">
        <v>-3</v>
      </c>
    </row>
    <row r="16" spans="1:4" x14ac:dyDescent="0.3">
      <c r="A16" s="4">
        <v>14</v>
      </c>
      <c r="B16" s="4" t="s">
        <v>64</v>
      </c>
      <c r="C16" s="1" t="s">
        <v>65</v>
      </c>
      <c r="D16" s="4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BDBB-7ABA-457A-9F60-3F2925813F32}">
  <dimension ref="A1:F27"/>
  <sheetViews>
    <sheetView topLeftCell="A13" zoomScale="72" zoomScaleNormal="72" workbookViewId="0">
      <selection activeCell="J25" sqref="J25"/>
    </sheetView>
  </sheetViews>
  <sheetFormatPr defaultRowHeight="14.4" x14ac:dyDescent="0.3"/>
  <cols>
    <col min="1" max="1" width="22.5546875" bestFit="1" customWidth="1"/>
    <col min="2" max="2" width="9.21875" bestFit="1" customWidth="1"/>
    <col min="3" max="3" width="21.5546875" bestFit="1" customWidth="1"/>
    <col min="5" max="5" width="39.109375" bestFit="1" customWidth="1"/>
    <col min="6" max="6" width="8.6640625" bestFit="1" customWidth="1"/>
  </cols>
  <sheetData>
    <row r="1" spans="1:6" x14ac:dyDescent="0.3">
      <c r="A1" s="27" t="s">
        <v>68</v>
      </c>
      <c r="B1" s="27"/>
      <c r="C1" s="27"/>
      <c r="D1" s="10"/>
      <c r="E1" s="28" t="s">
        <v>69</v>
      </c>
      <c r="F1" s="29"/>
    </row>
    <row r="2" spans="1:6" x14ac:dyDescent="0.3">
      <c r="A2" s="13" t="s">
        <v>16</v>
      </c>
      <c r="B2" s="13" t="s">
        <v>17</v>
      </c>
      <c r="C2" s="13" t="s">
        <v>70</v>
      </c>
      <c r="D2" s="10"/>
      <c r="E2" s="13" t="s">
        <v>71</v>
      </c>
      <c r="F2" s="13" t="s">
        <v>72</v>
      </c>
    </row>
    <row r="3" spans="1:6" x14ac:dyDescent="0.3">
      <c r="A3" s="10">
        <v>0</v>
      </c>
      <c r="B3" s="14" t="s">
        <v>73</v>
      </c>
      <c r="C3" s="10">
        <v>0</v>
      </c>
      <c r="D3" s="10"/>
      <c r="E3" s="15">
        <v>0</v>
      </c>
      <c r="F3" s="10">
        <v>1</v>
      </c>
    </row>
    <row r="4" spans="1:6" x14ac:dyDescent="0.3">
      <c r="A4" s="10">
        <v>4</v>
      </c>
      <c r="B4" s="14" t="s">
        <v>74</v>
      </c>
      <c r="C4" s="10">
        <v>1</v>
      </c>
      <c r="D4" s="10"/>
      <c r="E4" s="15">
        <v>1</v>
      </c>
      <c r="F4" s="10">
        <v>0.5</v>
      </c>
    </row>
    <row r="5" spans="1:6" x14ac:dyDescent="0.3">
      <c r="A5" s="10">
        <v>5</v>
      </c>
      <c r="B5" s="14" t="s">
        <v>75</v>
      </c>
      <c r="C5" s="10">
        <v>1.5</v>
      </c>
      <c r="D5" s="10"/>
      <c r="E5" s="15">
        <v>2</v>
      </c>
      <c r="F5" s="10">
        <v>0.25</v>
      </c>
    </row>
    <row r="6" spans="1:6" x14ac:dyDescent="0.3">
      <c r="A6" s="10">
        <v>5.5</v>
      </c>
      <c r="B6" s="14" t="s">
        <v>76</v>
      </c>
      <c r="C6" s="10">
        <v>2</v>
      </c>
      <c r="D6" s="10"/>
      <c r="E6" s="10"/>
      <c r="F6" s="10"/>
    </row>
    <row r="7" spans="1:6" x14ac:dyDescent="0.3">
      <c r="A7" s="10">
        <v>6.5</v>
      </c>
      <c r="B7" s="14" t="s">
        <v>77</v>
      </c>
      <c r="C7" s="10">
        <v>2.5</v>
      </c>
      <c r="D7" s="10"/>
      <c r="E7" s="10"/>
      <c r="F7" s="10"/>
    </row>
    <row r="8" spans="1:6" x14ac:dyDescent="0.3">
      <c r="A8" s="10">
        <v>7</v>
      </c>
      <c r="B8" s="14" t="s">
        <v>78</v>
      </c>
      <c r="C8" s="10">
        <v>3</v>
      </c>
      <c r="D8" s="10"/>
      <c r="E8" s="10"/>
      <c r="F8" s="10"/>
    </row>
    <row r="9" spans="1:6" x14ac:dyDescent="0.3">
      <c r="A9" s="10">
        <v>8</v>
      </c>
      <c r="B9" s="14" t="s">
        <v>79</v>
      </c>
      <c r="C9" s="10">
        <v>3.5</v>
      </c>
      <c r="D9" s="10"/>
      <c r="E9" s="10"/>
      <c r="F9" s="10"/>
    </row>
    <row r="10" spans="1:6" x14ac:dyDescent="0.3">
      <c r="A10" s="10">
        <v>9</v>
      </c>
      <c r="B10" s="14" t="s">
        <v>80</v>
      </c>
      <c r="C10" s="10">
        <v>4</v>
      </c>
      <c r="D10" s="10"/>
      <c r="E10" s="10"/>
      <c r="F10" s="10"/>
    </row>
    <row r="11" spans="1:6" x14ac:dyDescent="0.3">
      <c r="A11" s="10"/>
      <c r="B11" s="10"/>
      <c r="C11" s="10"/>
      <c r="D11" s="10"/>
      <c r="E11" s="10"/>
      <c r="F11" s="10"/>
    </row>
    <row r="12" spans="1:6" x14ac:dyDescent="0.3">
      <c r="A12" s="28" t="s">
        <v>81</v>
      </c>
      <c r="B12" s="30"/>
      <c r="C12" s="29"/>
      <c r="D12" s="10"/>
      <c r="E12" s="31" t="s">
        <v>82</v>
      </c>
      <c r="F12" s="32"/>
    </row>
    <row r="13" spans="1:6" ht="28.8" x14ac:dyDescent="0.3">
      <c r="A13" s="13" t="s">
        <v>36</v>
      </c>
      <c r="B13" s="13" t="s">
        <v>11</v>
      </c>
      <c r="C13" s="13" t="s">
        <v>12</v>
      </c>
      <c r="D13" s="15"/>
      <c r="E13" s="16" t="s">
        <v>83</v>
      </c>
      <c r="F13" s="17" t="s">
        <v>84</v>
      </c>
    </row>
    <row r="14" spans="1:6" x14ac:dyDescent="0.3">
      <c r="A14" s="15">
        <v>1</v>
      </c>
      <c r="B14" s="15" t="s">
        <v>44</v>
      </c>
      <c r="C14" s="10" t="s">
        <v>45</v>
      </c>
      <c r="D14" s="10"/>
      <c r="E14" s="15" t="s">
        <v>80</v>
      </c>
      <c r="F14" s="10" cm="1">
        <f t="array" ref="F14:F21">COUNTIF('Sheet Tổng hợp điểm'!$K$7:$K$20, E14:E21)</f>
        <v>0</v>
      </c>
    </row>
    <row r="15" spans="1:6" x14ac:dyDescent="0.3">
      <c r="A15" s="15">
        <v>2</v>
      </c>
      <c r="B15" s="15" t="s">
        <v>52</v>
      </c>
      <c r="C15" s="10" t="s">
        <v>53</v>
      </c>
      <c r="D15" s="10"/>
      <c r="E15" s="15" t="s">
        <v>79</v>
      </c>
      <c r="F15" s="10">
        <v>1</v>
      </c>
    </row>
    <row r="16" spans="1:6" x14ac:dyDescent="0.3">
      <c r="A16" s="15">
        <v>3</v>
      </c>
      <c r="B16" s="15" t="s">
        <v>54</v>
      </c>
      <c r="C16" s="10" t="s">
        <v>55</v>
      </c>
      <c r="D16" s="10"/>
      <c r="E16" s="15" t="s">
        <v>78</v>
      </c>
      <c r="F16" s="10">
        <v>2</v>
      </c>
    </row>
    <row r="17" spans="1:6" x14ac:dyDescent="0.3">
      <c r="A17" s="15">
        <v>4</v>
      </c>
      <c r="B17" s="15" t="s">
        <v>50</v>
      </c>
      <c r="C17" s="10" t="s">
        <v>51</v>
      </c>
      <c r="D17" s="10"/>
      <c r="E17" s="15" t="s">
        <v>77</v>
      </c>
      <c r="F17" s="10">
        <v>2</v>
      </c>
    </row>
    <row r="18" spans="1:6" x14ac:dyDescent="0.3">
      <c r="A18" s="15">
        <v>5</v>
      </c>
      <c r="B18" s="15" t="s">
        <v>46</v>
      </c>
      <c r="C18" s="10" t="s">
        <v>47</v>
      </c>
      <c r="D18" s="10"/>
      <c r="E18" s="15" t="s">
        <v>76</v>
      </c>
      <c r="F18" s="10">
        <v>5</v>
      </c>
    </row>
    <row r="19" spans="1:6" x14ac:dyDescent="0.3">
      <c r="A19" s="15">
        <v>6</v>
      </c>
      <c r="B19" s="15" t="s">
        <v>40</v>
      </c>
      <c r="C19" s="10" t="s">
        <v>41</v>
      </c>
      <c r="D19" s="10"/>
      <c r="E19" s="15" t="s">
        <v>75</v>
      </c>
      <c r="F19" s="10">
        <v>1</v>
      </c>
    </row>
    <row r="20" spans="1:6" x14ac:dyDescent="0.3">
      <c r="A20" s="15">
        <v>7</v>
      </c>
      <c r="B20" s="15" t="s">
        <v>58</v>
      </c>
      <c r="C20" s="10" t="s">
        <v>59</v>
      </c>
      <c r="D20" s="10"/>
      <c r="E20" s="15" t="s">
        <v>74</v>
      </c>
      <c r="F20" s="10">
        <v>0</v>
      </c>
    </row>
    <row r="21" spans="1:6" x14ac:dyDescent="0.3">
      <c r="A21" s="15">
        <v>8</v>
      </c>
      <c r="B21" s="15" t="s">
        <v>64</v>
      </c>
      <c r="C21" s="10" t="s">
        <v>65</v>
      </c>
      <c r="D21" s="10"/>
      <c r="E21" s="15" t="s">
        <v>73</v>
      </c>
      <c r="F21" s="10">
        <v>3</v>
      </c>
    </row>
    <row r="22" spans="1:6" x14ac:dyDescent="0.3">
      <c r="A22" s="15">
        <v>9</v>
      </c>
      <c r="B22" s="15" t="s">
        <v>60</v>
      </c>
      <c r="C22" s="10" t="s">
        <v>61</v>
      </c>
      <c r="D22" s="10"/>
      <c r="E22" s="10"/>
      <c r="F22" s="10"/>
    </row>
    <row r="23" spans="1:6" x14ac:dyDescent="0.3">
      <c r="A23" s="15">
        <v>10</v>
      </c>
      <c r="B23" s="15" t="s">
        <v>42</v>
      </c>
      <c r="C23" s="10" t="s">
        <v>43</v>
      </c>
      <c r="D23" s="10"/>
      <c r="E23" s="28" t="s">
        <v>85</v>
      </c>
      <c r="F23" s="29"/>
    </row>
    <row r="24" spans="1:6" x14ac:dyDescent="0.3">
      <c r="A24" s="15">
        <v>11</v>
      </c>
      <c r="B24" s="15" t="s">
        <v>56</v>
      </c>
      <c r="C24" s="10" t="s">
        <v>57</v>
      </c>
      <c r="D24" s="10"/>
      <c r="E24" s="21" t="s">
        <v>86</v>
      </c>
      <c r="F24" s="24" cm="1">
        <f t="array" ref="F24">SUM(('Sheet Tổng hợp điểm'!$G$12:$G$20=0) + ('Sheet Tổng hợp điểm'!$H$12:$H$20=-3))</f>
        <v>3</v>
      </c>
    </row>
    <row r="25" spans="1:6" x14ac:dyDescent="0.3">
      <c r="A25" s="15">
        <v>12</v>
      </c>
      <c r="B25" s="15" t="s">
        <v>38</v>
      </c>
      <c r="C25" s="10" t="s">
        <v>39</v>
      </c>
      <c r="D25" s="10"/>
      <c r="E25" s="22"/>
      <c r="F25" s="25"/>
    </row>
    <row r="26" spans="1:6" x14ac:dyDescent="0.3">
      <c r="A26" s="15">
        <v>13</v>
      </c>
      <c r="B26" s="15" t="s">
        <v>48</v>
      </c>
      <c r="C26" s="10" t="s">
        <v>49</v>
      </c>
      <c r="D26" s="10"/>
      <c r="E26" s="23"/>
      <c r="F26" s="26"/>
    </row>
    <row r="27" spans="1:6" ht="28.8" x14ac:dyDescent="0.3">
      <c r="A27" s="15">
        <v>14</v>
      </c>
      <c r="B27" s="15" t="s">
        <v>62</v>
      </c>
      <c r="C27" s="10" t="s">
        <v>63</v>
      </c>
      <c r="D27" s="10"/>
      <c r="E27" s="18" t="s">
        <v>87</v>
      </c>
      <c r="F27" s="19">
        <f>COUNTIFS('Sheet Tổng hợp điểm'!$J$7:$J$20, "&gt;=7", 'Sheet Tổng hợp điểm'!$K$7:$K$20, "B+") + COUNTIFS('Sheet Tổng hợp điểm'!$J$7:$J$20, "&gt;=7", 'Sheet Tổng hợp điểm'!$K$7:$K$20, "A")</f>
        <v>1</v>
      </c>
    </row>
  </sheetData>
  <mergeCells count="7">
    <mergeCell ref="E24:E26"/>
    <mergeCell ref="F24:F26"/>
    <mergeCell ref="A1:C1"/>
    <mergeCell ref="E1:F1"/>
    <mergeCell ref="A12:C12"/>
    <mergeCell ref="E12:F12"/>
    <mergeCell ref="E23:F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F8DD-2757-45D9-AD5B-29B24885F150}">
  <dimension ref="A1:K17"/>
  <sheetViews>
    <sheetView workbookViewId="0">
      <selection activeCell="A7" sqref="A7"/>
    </sheetView>
  </sheetViews>
  <sheetFormatPr defaultRowHeight="14.4" x14ac:dyDescent="0.3"/>
  <cols>
    <col min="2" max="2" width="10.109375" bestFit="1" customWidth="1"/>
    <col min="3" max="3" width="16.77734375" bestFit="1" customWidth="1"/>
  </cols>
  <sheetData>
    <row r="1" spans="1:11" x14ac:dyDescent="0.3">
      <c r="A1" s="1"/>
      <c r="B1" s="33" t="s">
        <v>0</v>
      </c>
      <c r="C1" s="33"/>
      <c r="D1" s="33"/>
      <c r="E1" s="33"/>
      <c r="F1" s="33"/>
      <c r="G1" s="33"/>
      <c r="H1" s="33"/>
      <c r="I1" s="2"/>
      <c r="J1" s="2"/>
      <c r="K1" s="2"/>
    </row>
    <row r="2" spans="1:11" x14ac:dyDescent="0.3">
      <c r="A2" s="1"/>
      <c r="B2" s="1" t="s">
        <v>1</v>
      </c>
      <c r="C2" s="3">
        <v>1043</v>
      </c>
      <c r="D2" s="34" t="s">
        <v>2</v>
      </c>
      <c r="E2" s="34"/>
      <c r="F2" s="35" t="s">
        <v>3</v>
      </c>
      <c r="G2" s="35"/>
      <c r="H2" s="35"/>
      <c r="I2" s="35"/>
      <c r="J2" s="1"/>
      <c r="K2" s="1"/>
    </row>
    <row r="3" spans="1:11" x14ac:dyDescent="0.3">
      <c r="A3" s="1"/>
      <c r="B3" s="1" t="s">
        <v>4</v>
      </c>
      <c r="C3" s="1" t="s">
        <v>5</v>
      </c>
      <c r="D3" s="34" t="s">
        <v>6</v>
      </c>
      <c r="E3" s="34"/>
      <c r="F3" s="34">
        <v>8</v>
      </c>
      <c r="G3" s="34"/>
      <c r="H3" s="34"/>
      <c r="I3" s="1"/>
      <c r="J3" s="1"/>
      <c r="K3" s="1"/>
    </row>
    <row r="4" spans="1:11" x14ac:dyDescent="0.3">
      <c r="A4" s="1"/>
      <c r="B4" s="1" t="s">
        <v>7</v>
      </c>
      <c r="C4" s="1" t="s">
        <v>8</v>
      </c>
      <c r="D4" s="34" t="s">
        <v>9</v>
      </c>
      <c r="E4" s="34"/>
      <c r="F4" s="34">
        <v>1</v>
      </c>
      <c r="G4" s="34"/>
      <c r="H4" s="34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55.2" x14ac:dyDescent="0.3">
      <c r="A6" s="7" t="s">
        <v>10</v>
      </c>
      <c r="B6" s="8" t="s">
        <v>11</v>
      </c>
      <c r="C6" s="8" t="s">
        <v>12</v>
      </c>
      <c r="D6" s="8" t="s">
        <v>32</v>
      </c>
      <c r="E6" s="8" t="s">
        <v>33</v>
      </c>
      <c r="F6" s="8" t="s">
        <v>34</v>
      </c>
      <c r="G6" s="8" t="s">
        <v>13</v>
      </c>
      <c r="H6" s="8" t="s">
        <v>14</v>
      </c>
      <c r="I6" s="8" t="s">
        <v>15</v>
      </c>
      <c r="J6" s="8" t="s">
        <v>16</v>
      </c>
      <c r="K6" s="8" t="s">
        <v>17</v>
      </c>
    </row>
    <row r="7" spans="1:11" x14ac:dyDescent="0.3">
      <c r="A7" s="15" cm="1">
        <f t="array" ref="A7:K17">_xlfn._xlws.FILTER('Sheet Tổng hợp điểm'!A7:K20,_xlfn.ANCHORARRAY( 'Sheet Tổng hợp điểm'!J7) &lt; 7)</f>
        <v>1</v>
      </c>
      <c r="B7" s="10" t="str">
        <v>0B1505719</v>
      </c>
      <c r="C7" s="10" t="str">
        <v>Nguyễn Văn Hiếu</v>
      </c>
      <c r="D7" s="15">
        <v>0.45</v>
      </c>
      <c r="E7" s="15">
        <v>0.25</v>
      </c>
      <c r="F7" s="15">
        <v>0.3</v>
      </c>
      <c r="G7" s="15">
        <v>0.5</v>
      </c>
      <c r="H7" s="15">
        <v>4.2</v>
      </c>
      <c r="I7" s="15">
        <v>4</v>
      </c>
      <c r="J7" s="15">
        <v>5</v>
      </c>
      <c r="K7" s="15" t="str">
        <v>D+</v>
      </c>
    </row>
    <row r="8" spans="1:11" x14ac:dyDescent="0.3">
      <c r="A8" s="15">
        <v>2</v>
      </c>
      <c r="B8" s="10" t="str">
        <v>1B1505915</v>
      </c>
      <c r="C8" s="10" t="str">
        <v>Lý Minh Trí</v>
      </c>
      <c r="D8" s="15">
        <v>0.5</v>
      </c>
      <c r="E8" s="15">
        <v>0.35</v>
      </c>
      <c r="F8" s="15">
        <v>0.4</v>
      </c>
      <c r="G8" s="15">
        <v>1</v>
      </c>
      <c r="H8" s="15">
        <v>5.8</v>
      </c>
      <c r="I8" s="15">
        <v>5.7</v>
      </c>
      <c r="J8" s="15">
        <v>6.2</v>
      </c>
      <c r="K8" s="15" t="str">
        <v>C</v>
      </c>
    </row>
    <row r="9" spans="1:11" x14ac:dyDescent="0.3">
      <c r="A9" s="15">
        <v>3</v>
      </c>
      <c r="B9" s="10" t="str">
        <v>0B1509874</v>
      </c>
      <c r="C9" s="10" t="str">
        <v>Nguyễn Kiều My</v>
      </c>
      <c r="D9" s="15">
        <v>0.25</v>
      </c>
      <c r="E9" s="15">
        <v>0.25</v>
      </c>
      <c r="F9" s="15">
        <v>0.3</v>
      </c>
      <c r="G9" s="15">
        <v>0.5</v>
      </c>
      <c r="H9" s="15">
        <v>5.8</v>
      </c>
      <c r="I9" s="15">
        <v>4.8</v>
      </c>
      <c r="J9" s="15">
        <v>5.8</v>
      </c>
      <c r="K9" s="15" t="str">
        <v>C</v>
      </c>
    </row>
    <row r="10" spans="1:11" x14ac:dyDescent="0.3">
      <c r="A10" s="15">
        <v>4</v>
      </c>
      <c r="B10" s="10" t="str">
        <v>0B1509929</v>
      </c>
      <c r="C10" s="10" t="str">
        <v>Đặng Duy Linh</v>
      </c>
      <c r="D10" s="15">
        <v>0.4</v>
      </c>
      <c r="E10" s="15">
        <v>0.25</v>
      </c>
      <c r="F10" s="15">
        <v>0.35</v>
      </c>
      <c r="G10" s="15">
        <v>1</v>
      </c>
      <c r="H10" s="15">
        <v>4.5</v>
      </c>
      <c r="I10" s="15">
        <v>4.7</v>
      </c>
      <c r="J10" s="15">
        <v>5.7</v>
      </c>
      <c r="K10" s="15" t="str">
        <v>C</v>
      </c>
    </row>
    <row r="11" spans="1:11" x14ac:dyDescent="0.3">
      <c r="A11" s="15">
        <v>5</v>
      </c>
      <c r="B11" s="10" t="str">
        <v>2B1605223</v>
      </c>
      <c r="C11" s="10" t="str">
        <v>Lê Thị Trúc Linh</v>
      </c>
      <c r="D11" s="15">
        <v>0.45</v>
      </c>
      <c r="E11" s="15">
        <v>0.4</v>
      </c>
      <c r="F11" s="15">
        <v>0.35</v>
      </c>
      <c r="G11" s="15">
        <v>0.75</v>
      </c>
      <c r="H11" s="15">
        <v>5.5</v>
      </c>
      <c r="I11" s="15">
        <v>5.3</v>
      </c>
      <c r="J11" s="15">
        <v>5.6</v>
      </c>
      <c r="K11" s="15" t="str">
        <v>C</v>
      </c>
    </row>
    <row r="12" spans="1:11" x14ac:dyDescent="0.3">
      <c r="A12" s="15">
        <v>7</v>
      </c>
      <c r="B12" s="10" t="str">
        <v>0B1605249</v>
      </c>
      <c r="C12" s="10" t="str">
        <v>Lê Minh Thông</v>
      </c>
      <c r="D12" s="15">
        <v>0.4</v>
      </c>
      <c r="E12" s="15">
        <v>0.4</v>
      </c>
      <c r="F12" s="15">
        <v>0.4</v>
      </c>
      <c r="G12" s="15">
        <v>1</v>
      </c>
      <c r="H12" s="15">
        <v>5.3</v>
      </c>
      <c r="I12" s="15">
        <v>5.4</v>
      </c>
      <c r="J12" s="15">
        <v>6.4</v>
      </c>
      <c r="K12" s="15" t="str">
        <v>C</v>
      </c>
    </row>
    <row r="13" spans="1:11" x14ac:dyDescent="0.3">
      <c r="A13" s="15">
        <v>8</v>
      </c>
      <c r="B13" s="10" t="str">
        <v>0B1605285</v>
      </c>
      <c r="C13" s="10" t="str">
        <v>Huỳnh Thị Diễm</v>
      </c>
      <c r="D13" s="15">
        <v>0.45</v>
      </c>
      <c r="E13" s="15">
        <v>0.4</v>
      </c>
      <c r="F13" s="15">
        <v>0.45</v>
      </c>
      <c r="G13" s="15">
        <v>0</v>
      </c>
      <c r="H13" s="15">
        <v>6.8</v>
      </c>
      <c r="I13" s="15">
        <v>5.4</v>
      </c>
      <c r="J13" s="15">
        <v>0</v>
      </c>
      <c r="K13" s="15" t="str">
        <v>F</v>
      </c>
    </row>
    <row r="14" spans="1:11" x14ac:dyDescent="0.3">
      <c r="A14" s="15">
        <v>9</v>
      </c>
      <c r="B14" s="10" t="str">
        <v>0B1605291</v>
      </c>
      <c r="C14" s="10" t="str">
        <v>Trần Thanh Nguyên</v>
      </c>
      <c r="D14" s="15">
        <v>0.45</v>
      </c>
      <c r="E14" s="15">
        <v>0.4</v>
      </c>
      <c r="F14" s="15">
        <v>0.4</v>
      </c>
      <c r="G14" s="15">
        <v>0.75</v>
      </c>
      <c r="H14" s="15">
        <v>6.3</v>
      </c>
      <c r="I14" s="15">
        <v>5.8</v>
      </c>
      <c r="J14" s="15">
        <v>6.8</v>
      </c>
      <c r="K14" s="15" t="str">
        <v>C+</v>
      </c>
    </row>
    <row r="15" spans="1:11" x14ac:dyDescent="0.3">
      <c r="A15" s="15">
        <v>11</v>
      </c>
      <c r="B15" s="10" t="str">
        <v>4B1607025</v>
      </c>
      <c r="C15" s="10" t="str">
        <v>Nguyễn Chí Thanh</v>
      </c>
      <c r="D15" s="15">
        <v>0.4</v>
      </c>
      <c r="E15" s="15">
        <v>0.45</v>
      </c>
      <c r="F15" s="15">
        <v>0.4</v>
      </c>
      <c r="G15" s="15">
        <v>0.3</v>
      </c>
      <c r="H15" s="15">
        <v>-3</v>
      </c>
      <c r="I15" s="15">
        <v>0</v>
      </c>
      <c r="J15" s="15">
        <v>0</v>
      </c>
      <c r="K15" s="15" t="str">
        <v>F</v>
      </c>
    </row>
    <row r="16" spans="1:11" x14ac:dyDescent="0.3">
      <c r="A16" s="15">
        <v>13</v>
      </c>
      <c r="B16" s="10" t="str">
        <v>5B1609765</v>
      </c>
      <c r="C16" s="10" t="str">
        <v>Trần Nam Dương</v>
      </c>
      <c r="D16" s="15">
        <v>0.4</v>
      </c>
      <c r="E16" s="15">
        <v>0.4</v>
      </c>
      <c r="F16" s="15">
        <v>0.35</v>
      </c>
      <c r="G16" s="15">
        <v>1.35</v>
      </c>
      <c r="H16" s="15">
        <v>-3</v>
      </c>
      <c r="I16" s="15">
        <v>0</v>
      </c>
      <c r="J16" s="15">
        <v>0</v>
      </c>
      <c r="K16" s="15" t="str">
        <v>F</v>
      </c>
    </row>
    <row r="17" spans="1:11" x14ac:dyDescent="0.3">
      <c r="A17" s="15">
        <v>14</v>
      </c>
      <c r="B17" s="10" t="str">
        <v>0B1609773</v>
      </c>
      <c r="C17" s="10" t="str">
        <v>Nguyễn Duy Khanh</v>
      </c>
      <c r="D17" s="15">
        <v>0.35</v>
      </c>
      <c r="E17" s="15">
        <v>0.4</v>
      </c>
      <c r="F17" s="15">
        <v>0</v>
      </c>
      <c r="G17" s="15">
        <v>0.85</v>
      </c>
      <c r="H17" s="15">
        <v>6.5</v>
      </c>
      <c r="I17" s="15">
        <v>5.5</v>
      </c>
      <c r="J17" s="15">
        <v>6.5</v>
      </c>
      <c r="K17" s="15" t="str">
        <v>C+</v>
      </c>
    </row>
  </sheetData>
  <mergeCells count="7">
    <mergeCell ref="D4:E4"/>
    <mergeCell ref="F4:H4"/>
    <mergeCell ref="B1:H1"/>
    <mergeCell ref="D2:E2"/>
    <mergeCell ref="F2:I2"/>
    <mergeCell ref="D3:E3"/>
    <mergeCell ref="F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7CB9-7C04-477A-9836-CF52E9D6B25B}">
  <dimension ref="A1:K7"/>
  <sheetViews>
    <sheetView workbookViewId="0">
      <selection activeCell="A7" sqref="A7"/>
    </sheetView>
  </sheetViews>
  <sheetFormatPr defaultRowHeight="14.4" x14ac:dyDescent="0.3"/>
  <cols>
    <col min="1" max="1" width="8.77734375" bestFit="1" customWidth="1"/>
    <col min="2" max="2" width="10.109375" bestFit="1" customWidth="1"/>
    <col min="3" max="3" width="15.109375" bestFit="1" customWidth="1"/>
  </cols>
  <sheetData>
    <row r="1" spans="1:11" x14ac:dyDescent="0.3">
      <c r="A1" s="1"/>
      <c r="B1" s="33" t="s">
        <v>0</v>
      </c>
      <c r="C1" s="33"/>
      <c r="D1" s="33"/>
      <c r="E1" s="33"/>
      <c r="F1" s="33"/>
      <c r="G1" s="33"/>
      <c r="H1" s="33"/>
      <c r="I1" s="2"/>
      <c r="J1" s="2"/>
      <c r="K1" s="2"/>
    </row>
    <row r="2" spans="1:11" x14ac:dyDescent="0.3">
      <c r="A2" s="1"/>
      <c r="B2" s="1" t="s">
        <v>1</v>
      </c>
      <c r="C2" s="3">
        <v>1043</v>
      </c>
      <c r="D2" s="34" t="s">
        <v>2</v>
      </c>
      <c r="E2" s="34"/>
      <c r="F2" s="35" t="s">
        <v>3</v>
      </c>
      <c r="G2" s="35"/>
      <c r="H2" s="35"/>
      <c r="I2" s="35"/>
      <c r="J2" s="1"/>
      <c r="K2" s="1"/>
    </row>
    <row r="3" spans="1:11" x14ac:dyDescent="0.3">
      <c r="A3" s="1"/>
      <c r="B3" s="1" t="s">
        <v>4</v>
      </c>
      <c r="C3" s="1" t="s">
        <v>5</v>
      </c>
      <c r="D3" s="34" t="s">
        <v>6</v>
      </c>
      <c r="E3" s="34"/>
      <c r="F3" s="34">
        <v>8</v>
      </c>
      <c r="G3" s="34"/>
      <c r="H3" s="34"/>
      <c r="I3" s="1"/>
      <c r="J3" s="1"/>
      <c r="K3" s="1"/>
    </row>
    <row r="4" spans="1:11" x14ac:dyDescent="0.3">
      <c r="A4" s="1"/>
      <c r="B4" s="1" t="s">
        <v>7</v>
      </c>
      <c r="C4" s="1" t="s">
        <v>8</v>
      </c>
      <c r="D4" s="34" t="s">
        <v>9</v>
      </c>
      <c r="E4" s="34"/>
      <c r="F4" s="34">
        <v>1</v>
      </c>
      <c r="G4" s="34"/>
      <c r="H4" s="34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55.2" x14ac:dyDescent="0.3">
      <c r="A6" s="7" t="s">
        <v>10</v>
      </c>
      <c r="B6" s="8" t="s">
        <v>11</v>
      </c>
      <c r="C6" s="8" t="s">
        <v>12</v>
      </c>
      <c r="D6" s="8" t="s">
        <v>32</v>
      </c>
      <c r="E6" s="8" t="s">
        <v>33</v>
      </c>
      <c r="F6" s="8" t="s">
        <v>34</v>
      </c>
      <c r="G6" s="8" t="s">
        <v>13</v>
      </c>
      <c r="H6" s="8" t="s">
        <v>14</v>
      </c>
      <c r="I6" s="8" t="s">
        <v>15</v>
      </c>
      <c r="J6" s="8" t="s">
        <v>16</v>
      </c>
      <c r="K6" s="8" t="s">
        <v>17</v>
      </c>
    </row>
    <row r="7" spans="1:11" ht="15.6" x14ac:dyDescent="0.3">
      <c r="A7" s="20" cm="1">
        <f t="array" ref="A7:K7">_xlfn._xlws.FILTER('Sheet Tổng hợp điểm'!A7:K20,(_xlfn.ANCHORARRAY('Sheet Tổng hợp điểm'!J7)&gt;=7)*(_xlfn.ANCHORARRAY('Sheet Tổng hợp điểm'!K7)="B+")+(_xlfn.ANCHORARRAY('Sheet Tổng hợp điểm'!K7)="A"))</f>
        <v>6</v>
      </c>
      <c r="B7" s="1" t="str">
        <v>0B1605235</v>
      </c>
      <c r="C7" s="1" t="str">
        <v>Phạm Thị Huỳnh</v>
      </c>
      <c r="D7" s="4">
        <v>0.4</v>
      </c>
      <c r="E7" s="4">
        <v>0.45</v>
      </c>
      <c r="F7" s="4">
        <v>0.5</v>
      </c>
      <c r="G7" s="4">
        <v>1.2</v>
      </c>
      <c r="H7" s="4">
        <v>7.5</v>
      </c>
      <c r="I7" s="4">
        <v>7.1</v>
      </c>
      <c r="J7" s="4">
        <v>8.1</v>
      </c>
      <c r="K7" s="4" t="str">
        <v>B+</v>
      </c>
    </row>
  </sheetData>
  <mergeCells count="7">
    <mergeCell ref="D4:E4"/>
    <mergeCell ref="F4:H4"/>
    <mergeCell ref="B1:H1"/>
    <mergeCell ref="D2:E2"/>
    <mergeCell ref="F2:I2"/>
    <mergeCell ref="D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 Tổng hợp điểm</vt:lpstr>
      <vt:lpstr>Sheet Điểm thực hành các buổi</vt:lpstr>
      <vt:lpstr>Sheet Điểm bài tập lớn</vt:lpstr>
      <vt:lpstr>Sheet Điểm lý thuyết</vt:lpstr>
      <vt:lpstr>Sheet Các bảng tham chiếu &amp; Thố</vt:lpstr>
      <vt:lpstr>Sinh viên Điểm &lt;7</vt:lpstr>
      <vt:lpstr>Sinh viên Điểm &gt;=7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nhattan26112001@gmail.com</dc:creator>
  <cp:lastModifiedBy>Dat Tien</cp:lastModifiedBy>
  <dcterms:created xsi:type="dcterms:W3CDTF">2026-09-23T06:39:00Z</dcterms:created>
  <dcterms:modified xsi:type="dcterms:W3CDTF">2026-09-25T07:16:34Z</dcterms:modified>
</cp:coreProperties>
</file>